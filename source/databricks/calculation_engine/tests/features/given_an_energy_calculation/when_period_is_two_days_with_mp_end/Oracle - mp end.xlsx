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opengeh-wholesale\source\databricks\calculation_engine\tests\features\given_an_energy_calculation\when_period_is_two_days_with_mp_end\"/>
    </mc:Choice>
  </mc:AlternateContent>
  <xr:revisionPtr revIDLastSave="0" documentId="13_ncr:1_{94445E8A-43D7-4244-9C41-EE0ECD7B7C2E}" xr6:coauthVersionLast="47" xr6:coauthVersionMax="47" xr10:uidLastSave="{00000000-0000-0000-0000-000000000000}"/>
  <bookViews>
    <workbookView xWindow="-120" yWindow="-120" windowWidth="38640" windowHeight="21120" activeTab="1" xr2:uid="{B26405EC-4681-4CC9-BF80-F87B3459AD72}"/>
  </bookViews>
  <sheets>
    <sheet name="Day1" sheetId="13" r:id="rId1"/>
    <sheet name="Day2" sheetId="14" r:id="rId2"/>
  </sheets>
  <definedNames>
    <definedName name="gridLoss15M" localSheetId="0">'Day1'!$S$34</definedName>
    <definedName name="gridLoss15M" localSheetId="1">'Day2'!$S$34</definedName>
    <definedName name="gridLoss1H_quarter1" localSheetId="0">'Day1'!$H$66</definedName>
    <definedName name="gridLoss1H_quarter1" localSheetId="1">'Day2'!$H$66</definedName>
    <definedName name="gridLoss1H_quarter2" localSheetId="0">'Day1'!$H$67</definedName>
    <definedName name="gridLoss1H_quarter2" localSheetId="1">'Day2'!$H$67</definedName>
    <definedName name="gridLoss1H_quarter3" localSheetId="0">'Day1'!$H$68</definedName>
    <definedName name="gridLoss1H_quarter3" localSheetId="1">'Day2'!$H$68</definedName>
    <definedName name="gridLoss1H_quarter4" localSheetId="0">'Day1'!$H$69</definedName>
    <definedName name="gridLoss1H_quarter4" localSheetId="1">'Day2'!$H$69</definedName>
    <definedName name="negGridLossQuarter1" localSheetId="0">'Day1'!$H$81</definedName>
    <definedName name="negGridLossQuarter1" localSheetId="1">'Day2'!$H$81</definedName>
    <definedName name="negGridLossQuarter2" localSheetId="0">'Day1'!$H$80</definedName>
    <definedName name="negGridLossQuarter2" localSheetId="1">'Day2'!$H$80</definedName>
    <definedName name="negGridLossQuarter3" localSheetId="0">'Day1'!$H$79</definedName>
    <definedName name="negGridLossQuarter3" localSheetId="1">'Day2'!$H$79</definedName>
    <definedName name="negGridLossQuarter4" localSheetId="0">'Day1'!$H$78</definedName>
    <definedName name="negGridLossQuarter4" localSheetId="1">'Day2'!$H$78</definedName>
    <definedName name="netEx_quarter1" localSheetId="0">'Day1'!$H$48</definedName>
    <definedName name="netEx_quarter1" localSheetId="1">'Day2'!$H$48</definedName>
    <definedName name="netEx_quarter2" localSheetId="0">'Day1'!$H$49</definedName>
    <definedName name="netEx_quarter2" localSheetId="1">'Day2'!$H$49</definedName>
    <definedName name="netEx_quarter3" localSheetId="0">'Day1'!$H$50</definedName>
    <definedName name="netEx_quarter3" localSheetId="1">'Day2'!$H$50</definedName>
    <definedName name="netEx_quarter4" localSheetId="0">'Day1'!$H$51</definedName>
    <definedName name="netEx_quarter4" localSheetId="1">'Day2'!$H$51</definedName>
    <definedName name="powerIn15M" localSheetId="0">'Day1'!$T$6</definedName>
    <definedName name="powerIn15M" localSheetId="1">'Day2'!$T$6</definedName>
    <definedName name="powerIn15M_quarter1" localSheetId="0">'Day1'!$U$6</definedName>
    <definedName name="powerIn15M_quarter1" localSheetId="1">'Day2'!$U$6</definedName>
    <definedName name="powerIn15M_quarter2" localSheetId="0">'Day1'!$V$6</definedName>
    <definedName name="powerIn15M_quarter2" localSheetId="1">'Day2'!$V$6</definedName>
    <definedName name="powerIn15M_quarter3" localSheetId="0">'Day1'!$W$6</definedName>
    <definedName name="powerIn15M_quarter3" localSheetId="1">'Day2'!$W$6</definedName>
    <definedName name="powerIn15M_quarter4" localSheetId="0">'Day1'!$X$6</definedName>
    <definedName name="powerIn15M_quarter4" localSheetId="1">'Day2'!$X$6</definedName>
    <definedName name="powerIn1H_quarter1" localSheetId="0">'Day1'!$Y$55</definedName>
    <definedName name="powerIn1H_quarter1" localSheetId="1">'Day2'!$Y$55</definedName>
    <definedName name="powerIn1H_quarter2" localSheetId="0">'Day1'!$Y$56</definedName>
    <definedName name="powerIn1H_quarter2" localSheetId="1">'Day2'!$Y$56</definedName>
    <definedName name="powerIn1H_quarter3" localSheetId="0">'Day1'!$Y$57</definedName>
    <definedName name="powerIn1H_quarter3" localSheetId="1">'Day2'!$Y$57</definedName>
    <definedName name="powerIn1H_quarter4" localSheetId="0">'Day1'!$Y$58</definedName>
    <definedName name="powerIn1H_quarter4" localSheetId="1">'Day2'!$Y$58</definedName>
    <definedName name="powerOut15M" localSheetId="0">'Day1'!$T$7</definedName>
    <definedName name="powerOut15M" localSheetId="1">'Day2'!$T$7</definedName>
    <definedName name="powerOut15M_quarter1" localSheetId="0">'Day1'!$U$7</definedName>
    <definedName name="powerOut15M_quarter1" localSheetId="1">'Day2'!$U$7</definedName>
    <definedName name="powerOut15M_quarter2" localSheetId="0">'Day1'!$V$7</definedName>
    <definedName name="powerOut15M_quarter2" localSheetId="1">'Day2'!$V$7</definedName>
    <definedName name="powerOut15M_quarter3" localSheetId="0">'Day1'!$W$7</definedName>
    <definedName name="powerOut15M_quarter3" localSheetId="1">'Day2'!$W$7</definedName>
    <definedName name="powerOut15M_quarter4" localSheetId="0">'Day1'!$X$7</definedName>
    <definedName name="powerOut15M_quarter4" localSheetId="1">'Day2'!$X$7</definedName>
    <definedName name="powerOut1H_quarter1" localSheetId="0">'Day1'!$Y$61</definedName>
    <definedName name="powerOut1H_quarter1" localSheetId="1">'Day2'!$Y$61</definedName>
    <definedName name="powerOut1H_quarter2" localSheetId="0">'Day1'!$Y$62</definedName>
    <definedName name="powerOut1H_quarter2" localSheetId="1">'Day2'!$Y$62</definedName>
    <definedName name="powerOut1H_quarter3" localSheetId="0">'Day1'!$Y$63</definedName>
    <definedName name="powerOut1H_quarter3" localSheetId="1">'Day2'!$Y$63</definedName>
    <definedName name="powerOut1H_quarter4" localSheetId="0">'Day1'!$Y$64</definedName>
    <definedName name="powerOut1H_quarter4" localSheetId="1">'Day2'!$Y$64</definedName>
    <definedName name="totalConsumption_quarter1" localSheetId="0">'Day1'!$Y$67</definedName>
    <definedName name="totalConsumption_quarter1" localSheetId="1">'Day2'!$Y$67</definedName>
    <definedName name="totalConsumption_quarter2" localSheetId="0">'Day1'!$Y$68</definedName>
    <definedName name="totalConsumption_quarter2" localSheetId="1">'Day2'!$Y$68</definedName>
    <definedName name="totalConsumption_quarter3" localSheetId="0">'Day1'!$Y$69</definedName>
    <definedName name="totalConsumption_quarter3" localSheetId="1">'Day2'!$Y$69</definedName>
    <definedName name="totalConsumption_quarter4" localSheetId="0">'Day1'!$Y$70</definedName>
    <definedName name="totalConsumption_quarter4" localSheetId="1">'Day2'!$Y$70</definedName>
    <definedName name="totalConsumption15M" localSheetId="0">'Day1'!$T$5</definedName>
    <definedName name="totalConsumption15M" localSheetId="1">'Day2'!$T$5</definedName>
    <definedName name="totalFlex15M" localSheetId="0">'Day1'!$T$2</definedName>
    <definedName name="totalFlex15M" localSheetId="1">'Day2'!$T$2</definedName>
    <definedName name="totalFlex15M_quarter1" localSheetId="0">'Day1'!$U$2</definedName>
    <definedName name="totalFlex15M_quarter1" localSheetId="1">'Day2'!$U$2</definedName>
    <definedName name="totalFlex15M_quarter2" localSheetId="0">'Day1'!$V$2</definedName>
    <definedName name="totalFlex15M_quarter2" localSheetId="1">'Day2'!$V$2</definedName>
    <definedName name="totalFlex15M_quarter3" localSheetId="0">'Day1'!$W$2</definedName>
    <definedName name="totalFlex15M_quarter3" localSheetId="1">'Day2'!$W$2</definedName>
    <definedName name="totalFlex15M_quarter4" localSheetId="0">'Day1'!$X$2</definedName>
    <definedName name="totalFlex15M_quarter4" localSheetId="1">'Day2'!$X$2</definedName>
    <definedName name="totalFlex1H_quarter1" localSheetId="0">'Day1'!$Y$37</definedName>
    <definedName name="totalFlex1H_quarter1" localSheetId="1">'Day2'!$Y$37</definedName>
    <definedName name="totalFlex1H_quarter2" localSheetId="0">'Day1'!$Y$38</definedName>
    <definedName name="totalFlex1H_quarter2" localSheetId="1">'Day2'!$Y$38</definedName>
    <definedName name="totalFlex1H_quarter3" localSheetId="0">'Day1'!$Y$39</definedName>
    <definedName name="totalFlex1H_quarter3" localSheetId="1">'Day2'!$Y$39</definedName>
    <definedName name="totalFlex1H_quarter4" localSheetId="0">'Day1'!$Y$40</definedName>
    <definedName name="totalFlex1H_quarter4" localSheetId="1">'Day2'!$Y$40</definedName>
    <definedName name="totalNonprofiled15M" localSheetId="0">'Day1'!$T$3</definedName>
    <definedName name="totalNonprofiled15M" localSheetId="1">'Day2'!$T$3</definedName>
    <definedName name="totalNonprofiled15M_quarter1" localSheetId="0">'Day1'!$U$3</definedName>
    <definedName name="totalNonprofiled15M_quarter1" localSheetId="1">'Day2'!$U$3</definedName>
    <definedName name="totalNonprofiled15M_quarter2" localSheetId="0">'Day1'!$V$3</definedName>
    <definedName name="totalNonprofiled15M_quarter2" localSheetId="1">'Day2'!$V$3</definedName>
    <definedName name="totalNonprofiled15M_quarter3" localSheetId="0">'Day1'!$W$3</definedName>
    <definedName name="totalNonprofiled15M_quarter3" localSheetId="1">'Day2'!$W$3</definedName>
    <definedName name="totalNonprofiled15M_quarter4" localSheetId="0">'Day1'!$X$3</definedName>
    <definedName name="totalNonprofiled15M_quarter4" localSheetId="1">'Day2'!$X$3</definedName>
    <definedName name="totalNonprofiled1H_quarter1" localSheetId="0">'Day1'!$Y$49</definedName>
    <definedName name="totalNonprofiled1H_quarter1" localSheetId="1">'Day2'!$Y$49</definedName>
    <definedName name="totalNonprofiled1H_quarter2" localSheetId="0">'Day1'!$Y$50</definedName>
    <definedName name="totalNonprofiled1H_quarter2" localSheetId="1">'Day2'!$Y$50</definedName>
    <definedName name="totalNonprofiled1H_quarter3" localSheetId="0">'Day1'!$Y$51</definedName>
    <definedName name="totalNonprofiled1H_quarter3" localSheetId="1">'Day2'!$Y$51</definedName>
    <definedName name="totalNonprofiled1H_quarter4" localSheetId="0">'Day1'!$Y$52</definedName>
    <definedName name="totalNonprofiled1H_quarter4" localSheetId="1">'Day2'!$Y$52</definedName>
    <definedName name="totalProduction15M" localSheetId="0">'Day1'!$T$4</definedName>
    <definedName name="totalProduction15M" localSheetId="1">'Day2'!$T$4</definedName>
    <definedName name="totalProduction15M_quarter1" localSheetId="0">'Day1'!$U$4</definedName>
    <definedName name="totalProduction15M_quarter1" localSheetId="1">'Day2'!$U$4</definedName>
    <definedName name="totalProduction15M_quarter2" localSheetId="0">'Day1'!$V$4</definedName>
    <definedName name="totalProduction15M_quarter2" localSheetId="1">'Day2'!$V$4</definedName>
    <definedName name="totalProduction15M_quarter3" localSheetId="0">'Day1'!$W$4</definedName>
    <definedName name="totalProduction15M_quarter3" localSheetId="1">'Day2'!$W$4</definedName>
    <definedName name="totalProduction15M_quarter4" localSheetId="0">'Day1'!$X$4</definedName>
    <definedName name="totalProduction15M_quarter4" localSheetId="1">'Day2'!$X$4</definedName>
    <definedName name="totalProduction1H_quarter1" localSheetId="0">'Day1'!$Y$43</definedName>
    <definedName name="totalProduction1H_quarter1" localSheetId="1">'Day2'!$Y$43</definedName>
    <definedName name="totalProduction1H_quarter2" localSheetId="0">'Day1'!$Y$44</definedName>
    <definedName name="totalProduction1H_quarter2" localSheetId="1">'Day2'!$Y$44</definedName>
    <definedName name="totalProduction1H_quarter3" localSheetId="0">'Day1'!$Y$45</definedName>
    <definedName name="totalProduction1H_quarter3" localSheetId="1">'Day2'!$Y$45</definedName>
    <definedName name="totalProduction1H_quarter4" localSheetId="0">'Day1'!$Y$46</definedName>
    <definedName name="totalProduction1H_quarter4" localSheetId="1">'Day2'!$Y$46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4" l="1"/>
  <c r="W108" i="14" s="1"/>
  <c r="W102" i="14"/>
  <c r="W103" i="14" s="1"/>
  <c r="W98" i="14"/>
  <c r="W99" i="14" s="1"/>
  <c r="W94" i="14"/>
  <c r="X94" i="14" s="1"/>
  <c r="Z94" i="14" s="1"/>
  <c r="W90" i="14"/>
  <c r="W93" i="14" s="1"/>
  <c r="W86" i="14"/>
  <c r="W87" i="14" s="1"/>
  <c r="V60" i="14"/>
  <c r="V62" i="14" s="1"/>
  <c r="Z62" i="14" s="1"/>
  <c r="V59" i="14"/>
  <c r="F45" i="14"/>
  <c r="F44" i="14"/>
  <c r="G44" i="14" s="1"/>
  <c r="F43" i="14"/>
  <c r="AE42" i="14" a="1"/>
  <c r="AE42" i="14" s="1"/>
  <c r="V42" i="14"/>
  <c r="V46" i="14" s="1"/>
  <c r="Z46" i="14" s="1"/>
  <c r="F42" i="14"/>
  <c r="G42" i="14" s="1"/>
  <c r="AF41" i="14" a="1"/>
  <c r="AF41" i="14" s="1"/>
  <c r="AE41" i="14" a="1"/>
  <c r="AE41" i="14" s="1"/>
  <c r="V41" i="14"/>
  <c r="F41" i="14"/>
  <c r="G41" i="14" s="1"/>
  <c r="AF40" i="14" a="1"/>
  <c r="AF40" i="14" s="1"/>
  <c r="AE40" i="14" a="1"/>
  <c r="AE40" i="14" s="1"/>
  <c r="F40" i="14"/>
  <c r="AE39" i="14" a="1"/>
  <c r="AE39" i="14" s="1"/>
  <c r="F39" i="14"/>
  <c r="G39" i="14" s="1"/>
  <c r="AF38" i="14" a="1"/>
  <c r="AF38" i="14" s="1"/>
  <c r="AE38" i="14" a="1"/>
  <c r="AE38" i="14" s="1"/>
  <c r="F38" i="14"/>
  <c r="AF37" i="14" a="1"/>
  <c r="AF37" i="14" s="1"/>
  <c r="AE37" i="14" a="1"/>
  <c r="AE37" i="14" s="1"/>
  <c r="F37" i="14"/>
  <c r="G37" i="14" s="1"/>
  <c r="AF36" i="14" a="1"/>
  <c r="AF36" i="14" s="1"/>
  <c r="AE36" i="14" a="1"/>
  <c r="AE36" i="14" s="1"/>
  <c r="F36" i="14"/>
  <c r="AF35" i="14" a="1"/>
  <c r="AF35" i="14" s="1"/>
  <c r="AE35" i="14" a="1"/>
  <c r="AE35" i="14" s="1"/>
  <c r="F35" i="14"/>
  <c r="AF34" i="14" a="1"/>
  <c r="AF34" i="14" s="1"/>
  <c r="AE34" i="14" a="1"/>
  <c r="AE34" i="14" s="1"/>
  <c r="F34" i="14"/>
  <c r="AE33" i="14" a="1"/>
  <c r="AE33" i="14" s="1"/>
  <c r="F33" i="14"/>
  <c r="AF32" i="14" a="1"/>
  <c r="AF32" i="14" s="1"/>
  <c r="U32" i="14"/>
  <c r="S32" i="14" s="1"/>
  <c r="T32" i="14"/>
  <c r="F32" i="14"/>
  <c r="U31" i="14"/>
  <c r="F31" i="14"/>
  <c r="U30" i="14"/>
  <c r="V30" i="14" s="1"/>
  <c r="V31" i="14" s="1"/>
  <c r="T30" i="14"/>
  <c r="S30" i="14"/>
  <c r="F30" i="14"/>
  <c r="G30" i="14" s="1"/>
  <c r="U29" i="14"/>
  <c r="T29" i="14" s="1"/>
  <c r="U28" i="14"/>
  <c r="T28" i="14" s="1"/>
  <c r="AF27" i="14"/>
  <c r="AF42" i="14" s="1" a="1"/>
  <c r="AF42" i="14" s="1"/>
  <c r="AE27" i="14"/>
  <c r="AE43" i="14" s="1" a="1"/>
  <c r="AE43" i="14" s="1"/>
  <c r="U27" i="14"/>
  <c r="T27" i="14"/>
  <c r="S27" i="14"/>
  <c r="U26" i="14"/>
  <c r="T26" i="14"/>
  <c r="S26" i="14"/>
  <c r="Z25" i="14" a="1"/>
  <c r="Z25" i="14" s="1"/>
  <c r="Z24" i="14" a="1"/>
  <c r="Z24" i="14" s="1"/>
  <c r="U22" i="14"/>
  <c r="S22" i="14" s="1"/>
  <c r="U20" i="14"/>
  <c r="T20" i="14" s="1"/>
  <c r="E20" i="14"/>
  <c r="J19" i="14"/>
  <c r="U18" i="14"/>
  <c r="V18" i="14" s="1"/>
  <c r="S18" i="14"/>
  <c r="J18" i="14"/>
  <c r="J17" i="14"/>
  <c r="J16" i="14"/>
  <c r="J15" i="14"/>
  <c r="J14" i="14"/>
  <c r="AF13" i="14" a="1"/>
  <c r="AE13" i="14" a="1"/>
  <c r="AE31" i="14" s="1" a="1"/>
  <c r="AE31" i="14" s="1"/>
  <c r="J13" i="14"/>
  <c r="J12" i="14"/>
  <c r="J11" i="14"/>
  <c r="J10" i="14"/>
  <c r="J9" i="14"/>
  <c r="J8" i="14"/>
  <c r="X7" i="14"/>
  <c r="W7" i="14"/>
  <c r="V7" i="14"/>
  <c r="U7" i="14"/>
  <c r="T7" i="14"/>
  <c r="J7" i="14"/>
  <c r="X6" i="14"/>
  <c r="W6" i="14"/>
  <c r="V6" i="14"/>
  <c r="U6" i="14"/>
  <c r="T6" i="14"/>
  <c r="J6" i="14"/>
  <c r="X5" i="14"/>
  <c r="W5" i="14"/>
  <c r="V5" i="14"/>
  <c r="U5" i="14"/>
  <c r="J5" i="14"/>
  <c r="V47" i="14" s="1"/>
  <c r="X4" i="14"/>
  <c r="W4" i="14"/>
  <c r="V4" i="14"/>
  <c r="U4" i="14"/>
  <c r="J4" i="14"/>
  <c r="T3" i="14" s="1"/>
  <c r="X3" i="14"/>
  <c r="W3" i="14"/>
  <c r="V3" i="14"/>
  <c r="U3" i="14"/>
  <c r="J3" i="14"/>
  <c r="T4" i="14" s="1"/>
  <c r="AH2" i="14" a="1"/>
  <c r="AH2" i="14" s="1"/>
  <c r="E100" i="14" s="1"/>
  <c r="AG2" i="14"/>
  <c r="AF39" i="14" s="1" a="1"/>
  <c r="AF39" i="14" s="1"/>
  <c r="AD2" i="14" a="1"/>
  <c r="AD2" i="14" s="1"/>
  <c r="X2" i="14"/>
  <c r="W2" i="14"/>
  <c r="V2" i="14"/>
  <c r="U2" i="14"/>
  <c r="T2" i="14"/>
  <c r="J2" i="14"/>
  <c r="T5" i="14" s="1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V106" i="14" a="1"/>
  <c r="V91" i="14" a="1"/>
  <c r="V95" i="14" a="1"/>
  <c r="V99" i="14" a="1"/>
  <c r="V103" i="14" a="1"/>
  <c r="V87" i="14" a="1"/>
  <c r="V107" i="14" a="1"/>
  <c r="V92" i="14" a="1"/>
  <c r="V96" i="14" a="1"/>
  <c r="V100" i="14" a="1"/>
  <c r="V104" i="14" a="1"/>
  <c r="V89" i="14" a="1"/>
  <c r="V108" i="14" a="1"/>
  <c r="V93" i="14" a="1"/>
  <c r="V97" i="14" a="1"/>
  <c r="J38" i="14"/>
  <c r="V101" i="14" a="1"/>
  <c r="V86" i="14" a="1"/>
  <c r="V90" i="14" a="1"/>
  <c r="J33" i="14"/>
  <c r="V105" i="14" a="1"/>
  <c r="V109" i="14" a="1"/>
  <c r="V98" i="14" a="1"/>
  <c r="V88" i="14" a="1"/>
  <c r="V102" i="14" a="1"/>
  <c r="J31" i="14"/>
  <c r="J43" i="14"/>
  <c r="J37" i="14"/>
  <c r="J32" i="14"/>
  <c r="J40" i="14"/>
  <c r="J30" i="14"/>
  <c r="J34" i="14"/>
  <c r="V94" i="14" a="1"/>
  <c r="AF31" i="14" l="1" a="1"/>
  <c r="AF31" i="14" s="1"/>
  <c r="AF30" i="14" a="1"/>
  <c r="AF30" i="14" s="1"/>
  <c r="AF29" i="14" a="1"/>
  <c r="AF29" i="14" s="1"/>
  <c r="AE13" i="14"/>
  <c r="AE28" i="14" s="1" a="1"/>
  <c r="AE28" i="14" s="1"/>
  <c r="AE32" i="14" a="1"/>
  <c r="AE32" i="14" s="1"/>
  <c r="X86" i="14"/>
  <c r="Z86" i="14" s="1"/>
  <c r="Y87" i="14" s="1"/>
  <c r="X87" i="14" s="1"/>
  <c r="Z87" i="14" s="1"/>
  <c r="W89" i="14"/>
  <c r="W88" i="14"/>
  <c r="W91" i="14"/>
  <c r="V33" i="14"/>
  <c r="W92" i="14"/>
  <c r="W95" i="14"/>
  <c r="Y95" i="14" s="1"/>
  <c r="X95" i="14" s="1"/>
  <c r="Z95" i="14" s="1"/>
  <c r="W96" i="14"/>
  <c r="W97" i="14"/>
  <c r="X106" i="14"/>
  <c r="Z106" i="14" s="1"/>
  <c r="V64" i="14"/>
  <c r="Z64" i="14" s="1"/>
  <c r="W107" i="14"/>
  <c r="V94" i="14"/>
  <c r="V102" i="14"/>
  <c r="V88" i="14"/>
  <c r="V98" i="14"/>
  <c r="V109" i="14"/>
  <c r="V105" i="14"/>
  <c r="V90" i="14"/>
  <c r="V86" i="14"/>
  <c r="V101" i="14"/>
  <c r="V97" i="14"/>
  <c r="V93" i="14"/>
  <c r="V108" i="14"/>
  <c r="V89" i="14"/>
  <c r="V104" i="14"/>
  <c r="V100" i="14"/>
  <c r="V96" i="14"/>
  <c r="V92" i="14"/>
  <c r="V107" i="14"/>
  <c r="V87" i="14"/>
  <c r="V103" i="14"/>
  <c r="V99" i="14"/>
  <c r="V95" i="14"/>
  <c r="V91" i="14"/>
  <c r="V106" i="14"/>
  <c r="I100" i="14" a="1"/>
  <c r="I100" i="14" s="1"/>
  <c r="H100" i="14"/>
  <c r="G100" i="14"/>
  <c r="F100" i="14"/>
  <c r="W18" i="14"/>
  <c r="Y18" i="14" s="1"/>
  <c r="V19" i="14"/>
  <c r="V20" i="14"/>
  <c r="V21" i="14"/>
  <c r="G38" i="14"/>
  <c r="G45" i="14"/>
  <c r="E84" i="14"/>
  <c r="E72" i="14"/>
  <c r="E50" i="14"/>
  <c r="E56" i="14"/>
  <c r="E81" i="14"/>
  <c r="E62" i="14"/>
  <c r="E68" i="14"/>
  <c r="E80" i="14"/>
  <c r="E87" i="14"/>
  <c r="E79" i="14"/>
  <c r="E49" i="14"/>
  <c r="E55" i="14"/>
  <c r="E78" i="14"/>
  <c r="E61" i="14"/>
  <c r="V54" i="14"/>
  <c r="E67" i="14"/>
  <c r="E51" i="14"/>
  <c r="E48" i="14"/>
  <c r="E75" i="14"/>
  <c r="E57" i="14"/>
  <c r="E54" i="14"/>
  <c r="E63" i="14"/>
  <c r="E60" i="14"/>
  <c r="V53" i="14"/>
  <c r="E85" i="14"/>
  <c r="E73" i="14"/>
  <c r="AF13" i="14"/>
  <c r="AF28" i="14" s="1" a="1"/>
  <c r="AF28" i="14" s="1"/>
  <c r="E66" i="14"/>
  <c r="E69" i="14"/>
  <c r="E74" i="14"/>
  <c r="G36" i="14"/>
  <c r="U19" i="14"/>
  <c r="W30" i="14"/>
  <c r="Y30" i="14" s="1"/>
  <c r="X31" i="14" s="1"/>
  <c r="W31" i="14" s="1"/>
  <c r="Y31" i="14" s="1"/>
  <c r="V32" i="14"/>
  <c r="G33" i="14"/>
  <c r="S20" i="14"/>
  <c r="S29" i="14"/>
  <c r="E86" i="14"/>
  <c r="V65" i="14"/>
  <c r="V48" i="14"/>
  <c r="V66" i="14"/>
  <c r="AE30" i="14" a="1"/>
  <c r="AE30" i="14" s="1"/>
  <c r="U33" i="14"/>
  <c r="G35" i="14"/>
  <c r="U24" i="14"/>
  <c r="U23" i="14"/>
  <c r="T22" i="14"/>
  <c r="U25" i="14"/>
  <c r="V22" i="14"/>
  <c r="G32" i="14"/>
  <c r="G31" i="14"/>
  <c r="E97" i="14"/>
  <c r="E111" i="14"/>
  <c r="E101" i="14"/>
  <c r="E105" i="14"/>
  <c r="E90" i="14"/>
  <c r="E109" i="14"/>
  <c r="E94" i="14"/>
  <c r="E98" i="14"/>
  <c r="E113" i="14"/>
  <c r="E102" i="14"/>
  <c r="E106" i="14"/>
  <c r="E110" i="14"/>
  <c r="E91" i="14"/>
  <c r="E95" i="14"/>
  <c r="E99" i="14"/>
  <c r="E103" i="14"/>
  <c r="E112" i="14"/>
  <c r="E107" i="14"/>
  <c r="E92" i="14"/>
  <c r="E96" i="14"/>
  <c r="E104" i="14"/>
  <c r="E108" i="14"/>
  <c r="E93" i="14"/>
  <c r="T18" i="14"/>
  <c r="U21" i="14"/>
  <c r="V36" i="14"/>
  <c r="V35" i="14"/>
  <c r="T31" i="14"/>
  <c r="S31" i="14"/>
  <c r="X102" i="14"/>
  <c r="Z102" i="14" s="1"/>
  <c r="Y103" i="14" s="1"/>
  <c r="X103" i="14" s="1"/>
  <c r="Z103" i="14" s="1"/>
  <c r="S28" i="14"/>
  <c r="G34" i="14"/>
  <c r="G40" i="14"/>
  <c r="G43" i="14"/>
  <c r="X98" i="14"/>
  <c r="Z98" i="14" s="1"/>
  <c r="Y99" i="14" s="1"/>
  <c r="X99" i="14" s="1"/>
  <c r="Z99" i="14" s="1"/>
  <c r="W109" i="14"/>
  <c r="V63" i="14"/>
  <c r="W105" i="14"/>
  <c r="V26" i="14"/>
  <c r="X90" i="14"/>
  <c r="Z90" i="14" s="1"/>
  <c r="W101" i="14"/>
  <c r="V45" i="14"/>
  <c r="V61" i="14"/>
  <c r="V43" i="14"/>
  <c r="W104" i="14"/>
  <c r="V44" i="14"/>
  <c r="W100" i="14"/>
  <c r="AF33" i="14" a="1"/>
  <c r="AF33" i="14" s="1"/>
  <c r="W106" i="13"/>
  <c r="X106" i="13" s="1"/>
  <c r="Z106" i="13" s="1"/>
  <c r="W102" i="13"/>
  <c r="W105" i="13" s="1"/>
  <c r="W98" i="13"/>
  <c r="X98" i="13" s="1"/>
  <c r="Z98" i="13" s="1"/>
  <c r="W94" i="13"/>
  <c r="X94" i="13" s="1"/>
  <c r="Z94" i="13" s="1"/>
  <c r="V60" i="13"/>
  <c r="V63" i="13" s="1"/>
  <c r="V59" i="13"/>
  <c r="V47" i="13"/>
  <c r="F45" i="13"/>
  <c r="F44" i="13"/>
  <c r="F43" i="13"/>
  <c r="G43" i="13" s="1"/>
  <c r="V42" i="13"/>
  <c r="V46" i="13" s="1"/>
  <c r="F42" i="13"/>
  <c r="V41" i="13"/>
  <c r="F41" i="13"/>
  <c r="F40" i="13"/>
  <c r="G40" i="13" s="1"/>
  <c r="F39" i="13"/>
  <c r="G39" i="13" s="1"/>
  <c r="F38" i="13"/>
  <c r="G38" i="13" s="1"/>
  <c r="F37" i="13"/>
  <c r="F36" i="13"/>
  <c r="G36" i="13" s="1"/>
  <c r="V35" i="13"/>
  <c r="F35" i="13"/>
  <c r="G35" i="13" s="1"/>
  <c r="F34" i="13"/>
  <c r="G34" i="13" s="1"/>
  <c r="F33" i="13"/>
  <c r="G33" i="13" s="1"/>
  <c r="F32" i="13"/>
  <c r="G32" i="13" s="1"/>
  <c r="F31" i="13"/>
  <c r="U30" i="13"/>
  <c r="U32" i="13" s="1"/>
  <c r="F30" i="13"/>
  <c r="G30" i="13" s="1"/>
  <c r="AF27" i="13"/>
  <c r="AE27" i="13"/>
  <c r="U26" i="13"/>
  <c r="T26" i="13"/>
  <c r="S26" i="13"/>
  <c r="Z25" i="13" a="1"/>
  <c r="Z25" i="13" s="1"/>
  <c r="Z24" i="13" a="1"/>
  <c r="Z24" i="13" s="1"/>
  <c r="U24" i="13"/>
  <c r="U22" i="13"/>
  <c r="S22" i="13" s="1"/>
  <c r="E20" i="13"/>
  <c r="U18" i="13"/>
  <c r="U19" i="13" s="1"/>
  <c r="AF13" i="13" a="1"/>
  <c r="AE13" i="13" a="1"/>
  <c r="AE13" i="13" s="1"/>
  <c r="X7" i="13"/>
  <c r="W7" i="13"/>
  <c r="V7" i="13"/>
  <c r="U7" i="13"/>
  <c r="T7" i="13"/>
  <c r="X6" i="13"/>
  <c r="W6" i="13"/>
  <c r="V6" i="13"/>
  <c r="U6" i="13"/>
  <c r="T6" i="13"/>
  <c r="X5" i="13"/>
  <c r="W5" i="13"/>
  <c r="V5" i="13"/>
  <c r="U5" i="13"/>
  <c r="V65" i="13"/>
  <c r="X4" i="13"/>
  <c r="W4" i="13"/>
  <c r="V4" i="13"/>
  <c r="U4" i="13"/>
  <c r="T4" i="13"/>
  <c r="X3" i="13"/>
  <c r="W3" i="13"/>
  <c r="V3" i="13"/>
  <c r="U3" i="13"/>
  <c r="T3" i="13"/>
  <c r="AH2" i="13" a="1"/>
  <c r="AH2" i="13" s="1"/>
  <c r="E107" i="13" s="1"/>
  <c r="AG2" i="13"/>
  <c r="AE42" i="13" s="1" a="1"/>
  <c r="AE42" i="13" s="1"/>
  <c r="AD2" i="13" a="1"/>
  <c r="AD2" i="13" s="1"/>
  <c r="X2" i="13"/>
  <c r="W2" i="13"/>
  <c r="V2" i="13"/>
  <c r="U2" i="13"/>
  <c r="J45" i="14"/>
  <c r="J35" i="14"/>
  <c r="J44" i="14"/>
  <c r="J36" i="14"/>
  <c r="J41" i="14"/>
  <c r="J42" i="14"/>
  <c r="J39" i="14"/>
  <c r="J33" i="13"/>
  <c r="V100" i="13" a="1"/>
  <c r="J34" i="13"/>
  <c r="V104" i="13" a="1"/>
  <c r="J35" i="13"/>
  <c r="V89" i="13" a="1"/>
  <c r="V102" i="13" a="1"/>
  <c r="V91" i="13" a="1"/>
  <c r="V88" i="13" a="1"/>
  <c r="V96" i="13" a="1"/>
  <c r="J41" i="13"/>
  <c r="V108" i="13" a="1"/>
  <c r="V109" i="13" a="1"/>
  <c r="J32" i="13"/>
  <c r="J38" i="13"/>
  <c r="V93" i="13" a="1"/>
  <c r="J39" i="13"/>
  <c r="J42" i="13"/>
  <c r="V105" i="13" a="1"/>
  <c r="V106" i="13" a="1"/>
  <c r="V86" i="13" a="1"/>
  <c r="J43" i="13"/>
  <c r="J44" i="13"/>
  <c r="J37" i="13"/>
  <c r="V95" i="13" a="1"/>
  <c r="V98" i="13" a="1"/>
  <c r="V90" i="13" a="1"/>
  <c r="V107" i="13" a="1"/>
  <c r="V92" i="13" a="1"/>
  <c r="J45" i="13"/>
  <c r="V99" i="13" a="1"/>
  <c r="V97" i="13" a="1"/>
  <c r="V101" i="13" a="1"/>
  <c r="J31" i="13"/>
  <c r="J40" i="13"/>
  <c r="V103" i="13" a="1"/>
  <c r="J30" i="13"/>
  <c r="V87" i="13" a="1"/>
  <c r="V94" i="13" a="1"/>
  <c r="J36" i="13"/>
  <c r="W90" i="13" l="1"/>
  <c r="W92" i="13" s="1"/>
  <c r="Y107" i="14"/>
  <c r="X107" i="14" s="1"/>
  <c r="Z107" i="14" s="1"/>
  <c r="Y108" i="14" s="1"/>
  <c r="X108" i="14" s="1"/>
  <c r="Z108" i="14" s="1"/>
  <c r="Y109" i="14" s="1"/>
  <c r="X109" i="14" s="1"/>
  <c r="Z109" i="14" s="1"/>
  <c r="AE2" i="14" a="1"/>
  <c r="AE2" i="14" s="1"/>
  <c r="Y91" i="14"/>
  <c r="X91" i="14" s="1"/>
  <c r="Z91" i="14" s="1"/>
  <c r="Y92" i="14" s="1"/>
  <c r="X92" i="14" s="1"/>
  <c r="Z92" i="14" s="1"/>
  <c r="Y93" i="14" s="1"/>
  <c r="X93" i="14" s="1"/>
  <c r="Z93" i="14" s="1"/>
  <c r="Y96" i="14"/>
  <c r="X96" i="14" s="1"/>
  <c r="Z96" i="14" s="1"/>
  <c r="Y97" i="14" s="1"/>
  <c r="X97" i="14" s="1"/>
  <c r="Z97" i="14" s="1"/>
  <c r="Y88" i="14"/>
  <c r="X88" i="14" s="1"/>
  <c r="Z88" i="14" s="1"/>
  <c r="Y89" i="14" s="1"/>
  <c r="X89" i="14" s="1"/>
  <c r="Z89" i="14" s="1"/>
  <c r="F28" i="14"/>
  <c r="F26" i="14"/>
  <c r="F27" i="14"/>
  <c r="U14" i="14"/>
  <c r="F29" i="14"/>
  <c r="Z63" i="14"/>
  <c r="I98" i="14" a="1"/>
  <c r="I98" i="14" s="1"/>
  <c r="H98" i="14"/>
  <c r="G98" i="14"/>
  <c r="F98" i="14"/>
  <c r="V52" i="14"/>
  <c r="V49" i="14"/>
  <c r="V51" i="14"/>
  <c r="V50" i="14"/>
  <c r="Y100" i="14"/>
  <c r="X100" i="14" s="1"/>
  <c r="Z100" i="14" s="1"/>
  <c r="Y101" i="14" s="1"/>
  <c r="X101" i="14" s="1"/>
  <c r="Z101" i="14" s="1"/>
  <c r="H93" i="14"/>
  <c r="F93" i="14"/>
  <c r="G93" i="14"/>
  <c r="H94" i="14"/>
  <c r="G94" i="14"/>
  <c r="F94" i="14"/>
  <c r="I94" i="14" a="1"/>
  <c r="I94" i="14" s="1"/>
  <c r="V25" i="14"/>
  <c r="W22" i="14"/>
  <c r="Y22" i="14" s="1"/>
  <c r="V24" i="14"/>
  <c r="V23" i="14"/>
  <c r="Z44" i="14"/>
  <c r="I108" i="14" a="1"/>
  <c r="I108" i="14" s="1"/>
  <c r="H108" i="14"/>
  <c r="G108" i="14"/>
  <c r="F108" i="14"/>
  <c r="H109" i="14"/>
  <c r="G109" i="14"/>
  <c r="F109" i="14"/>
  <c r="I109" i="14" a="1"/>
  <c r="I109" i="14" s="1"/>
  <c r="S25" i="14"/>
  <c r="T25" i="14"/>
  <c r="V58" i="14"/>
  <c r="V55" i="14"/>
  <c r="V57" i="14"/>
  <c r="V56" i="14"/>
  <c r="I113" i="14" a="1"/>
  <c r="I113" i="14" s="1"/>
  <c r="H113" i="14"/>
  <c r="G113" i="14"/>
  <c r="F113" i="14"/>
  <c r="Y104" i="14"/>
  <c r="X104" i="14" s="1"/>
  <c r="Z104" i="14" s="1"/>
  <c r="Y105" i="14" s="1"/>
  <c r="X105" i="14" s="1"/>
  <c r="Z105" i="14" s="1"/>
  <c r="G90" i="14"/>
  <c r="F90" i="14"/>
  <c r="H90" i="14"/>
  <c r="Z43" i="14"/>
  <c r="W43" i="14"/>
  <c r="Y43" i="14" s="1"/>
  <c r="X44" i="14" s="1"/>
  <c r="W44" i="14" s="1"/>
  <c r="Y44" i="14" s="1"/>
  <c r="H92" i="14"/>
  <c r="G92" i="14"/>
  <c r="F92" i="14"/>
  <c r="S24" i="14"/>
  <c r="T24" i="14"/>
  <c r="V68" i="14"/>
  <c r="V70" i="14"/>
  <c r="V67" i="14"/>
  <c r="V69" i="14"/>
  <c r="I104" i="14" a="1"/>
  <c r="I104" i="14" s="1"/>
  <c r="H104" i="14"/>
  <c r="G104" i="14"/>
  <c r="F104" i="14"/>
  <c r="I96" i="14" a="1"/>
  <c r="I96" i="14" s="1"/>
  <c r="H96" i="14"/>
  <c r="G96" i="14"/>
  <c r="F96" i="14"/>
  <c r="G105" i="14"/>
  <c r="F105" i="14"/>
  <c r="I105" i="14" a="1"/>
  <c r="I105" i="14" s="1"/>
  <c r="H105" i="14"/>
  <c r="S23" i="14"/>
  <c r="T23" i="14"/>
  <c r="F101" i="14"/>
  <c r="H101" i="14"/>
  <c r="G101" i="14"/>
  <c r="I101" i="14" a="1"/>
  <c r="I101" i="14" s="1"/>
  <c r="I107" i="14" a="1"/>
  <c r="I107" i="14" s="1"/>
  <c r="H107" i="14"/>
  <c r="G107" i="14"/>
  <c r="F107" i="14"/>
  <c r="F111" i="14"/>
  <c r="I111" i="14" a="1"/>
  <c r="I111" i="14" s="1"/>
  <c r="H111" i="14"/>
  <c r="G111" i="14"/>
  <c r="V27" i="14"/>
  <c r="V28" i="14"/>
  <c r="V29" i="14"/>
  <c r="W26" i="14"/>
  <c r="Y26" i="14" s="1"/>
  <c r="Z61" i="14"/>
  <c r="W61" i="14"/>
  <c r="Y61" i="14" s="1"/>
  <c r="AF43" i="14" a="1"/>
  <c r="AF43" i="14" s="1"/>
  <c r="AF2" i="14" a="1"/>
  <c r="AF2" i="14" s="1"/>
  <c r="I103" i="14" a="1"/>
  <c r="I103" i="14" s="1"/>
  <c r="H103" i="14"/>
  <c r="G103" i="14"/>
  <c r="F103" i="14"/>
  <c r="V40" i="14"/>
  <c r="V38" i="14"/>
  <c r="V37" i="14"/>
  <c r="V39" i="14"/>
  <c r="I99" i="14" a="1"/>
  <c r="I99" i="14" s="1"/>
  <c r="H99" i="14"/>
  <c r="G99" i="14"/>
  <c r="F99" i="14"/>
  <c r="X32" i="14"/>
  <c r="W32" i="14" s="1"/>
  <c r="Y32" i="14" s="1"/>
  <c r="X33" i="14" s="1"/>
  <c r="W33" i="14" s="1"/>
  <c r="Y33" i="14" s="1"/>
  <c r="T21" i="14"/>
  <c r="S21" i="14"/>
  <c r="I95" i="14" a="1"/>
  <c r="I95" i="14" s="1"/>
  <c r="H95" i="14"/>
  <c r="G95" i="14"/>
  <c r="F95" i="14"/>
  <c r="Z45" i="14"/>
  <c r="H91" i="14"/>
  <c r="G91" i="14"/>
  <c r="F91" i="14"/>
  <c r="I97" i="14" a="1"/>
  <c r="I97" i="14" s="1"/>
  <c r="G97" i="14"/>
  <c r="F97" i="14"/>
  <c r="H97" i="14"/>
  <c r="I110" i="14" a="1"/>
  <c r="I110" i="14" s="1"/>
  <c r="H110" i="14"/>
  <c r="G110" i="14"/>
  <c r="F110" i="14"/>
  <c r="X19" i="14"/>
  <c r="W19" i="14" s="1"/>
  <c r="Y19" i="14" s="1"/>
  <c r="X20" i="14" s="1"/>
  <c r="W20" i="14" s="1"/>
  <c r="Y20" i="14" s="1"/>
  <c r="X21" i="14" s="1"/>
  <c r="W21" i="14" s="1"/>
  <c r="Y21" i="14" s="1"/>
  <c r="I112" i="14" a="1"/>
  <c r="I112" i="14" s="1"/>
  <c r="H112" i="14"/>
  <c r="G112" i="14"/>
  <c r="F112" i="14"/>
  <c r="I106" i="14" a="1"/>
  <c r="I106" i="14" s="1"/>
  <c r="H106" i="14"/>
  <c r="G106" i="14"/>
  <c r="F106" i="14"/>
  <c r="T33" i="14"/>
  <c r="S33" i="14"/>
  <c r="S19" i="14"/>
  <c r="T19" i="14"/>
  <c r="I102" i="14" a="1"/>
  <c r="I102" i="14" s="1"/>
  <c r="H102" i="14"/>
  <c r="G102" i="14"/>
  <c r="F102" i="14"/>
  <c r="V66" i="13"/>
  <c r="V69" i="13" s="1"/>
  <c r="Z69" i="13" s="1"/>
  <c r="V36" i="13"/>
  <c r="V88" i="13"/>
  <c r="V101" i="13"/>
  <c r="V94" i="13"/>
  <c r="V90" i="13"/>
  <c r="V97" i="13"/>
  <c r="V98" i="13"/>
  <c r="V109" i="13"/>
  <c r="V86" i="13"/>
  <c r="V105" i="13"/>
  <c r="V102" i="13"/>
  <c r="V93" i="13"/>
  <c r="V108" i="13"/>
  <c r="V89" i="13"/>
  <c r="V104" i="13"/>
  <c r="V100" i="13"/>
  <c r="V96" i="13"/>
  <c r="V92" i="13"/>
  <c r="V107" i="13"/>
  <c r="V87" i="13"/>
  <c r="V103" i="13"/>
  <c r="V99" i="13"/>
  <c r="V95" i="13"/>
  <c r="V91" i="13"/>
  <c r="V106" i="13"/>
  <c r="Z63" i="13"/>
  <c r="T19" i="13"/>
  <c r="S19" i="13"/>
  <c r="T32" i="13"/>
  <c r="S32" i="13"/>
  <c r="E84" i="13"/>
  <c r="E72" i="13"/>
  <c r="E50" i="13"/>
  <c r="E56" i="13"/>
  <c r="E81" i="13"/>
  <c r="E62" i="13"/>
  <c r="E68" i="13"/>
  <c r="E80" i="13"/>
  <c r="E87" i="13"/>
  <c r="E79" i="13"/>
  <c r="E49" i="13"/>
  <c r="E55" i="13"/>
  <c r="E78" i="13"/>
  <c r="E61" i="13"/>
  <c r="V54" i="13"/>
  <c r="E85" i="13"/>
  <c r="E73" i="13"/>
  <c r="E57" i="13"/>
  <c r="E69" i="13"/>
  <c r="E66" i="13"/>
  <c r="E86" i="13"/>
  <c r="E75" i="13"/>
  <c r="E63" i="13"/>
  <c r="E54" i="13"/>
  <c r="V53" i="13"/>
  <c r="E74" i="13"/>
  <c r="E51" i="13"/>
  <c r="E60" i="13"/>
  <c r="E67" i="13"/>
  <c r="E48" i="13"/>
  <c r="I107" i="13" a="1"/>
  <c r="I107" i="13" s="1"/>
  <c r="H107" i="13"/>
  <c r="G107" i="13"/>
  <c r="F107" i="13"/>
  <c r="AE31" i="13" a="1"/>
  <c r="AE31" i="13" s="1"/>
  <c r="E112" i="13"/>
  <c r="T22" i="13"/>
  <c r="G41" i="13"/>
  <c r="W107" i="13"/>
  <c r="Y107" i="13" s="1"/>
  <c r="X107" i="13" s="1"/>
  <c r="Z107" i="13" s="1"/>
  <c r="W108" i="13"/>
  <c r="W103" i="13"/>
  <c r="W104" i="13"/>
  <c r="X102" i="13"/>
  <c r="Z102" i="13" s="1"/>
  <c r="S24" i="13"/>
  <c r="T24" i="13"/>
  <c r="E97" i="13"/>
  <c r="E101" i="13"/>
  <c r="E111" i="13"/>
  <c r="E105" i="13"/>
  <c r="E90" i="13"/>
  <c r="E109" i="13"/>
  <c r="E94" i="13"/>
  <c r="E98" i="13"/>
  <c r="E113" i="13"/>
  <c r="E102" i="13"/>
  <c r="E106" i="13"/>
  <c r="E110" i="13"/>
  <c r="E91" i="13"/>
  <c r="E95" i="13"/>
  <c r="E99" i="13"/>
  <c r="E108" i="13"/>
  <c r="E93" i="13"/>
  <c r="U29" i="13"/>
  <c r="U28" i="13"/>
  <c r="V26" i="13"/>
  <c r="AF33" i="13" a="1"/>
  <c r="AF33" i="13" s="1"/>
  <c r="AE39" i="13" a="1"/>
  <c r="AE39" i="13" s="1"/>
  <c r="AE41" i="13" a="1"/>
  <c r="AE41" i="13" s="1"/>
  <c r="T2" i="13"/>
  <c r="T5" i="13"/>
  <c r="AF39" i="13" a="1"/>
  <c r="AF39" i="13" s="1"/>
  <c r="G44" i="13"/>
  <c r="W99" i="13"/>
  <c r="Y99" i="13" s="1"/>
  <c r="X99" i="13" s="1"/>
  <c r="Z99" i="13" s="1"/>
  <c r="W100" i="13"/>
  <c r="W101" i="13"/>
  <c r="W95" i="13"/>
  <c r="Y95" i="13" s="1"/>
  <c r="X95" i="13" s="1"/>
  <c r="Z95" i="13" s="1"/>
  <c r="W96" i="13"/>
  <c r="W97" i="13"/>
  <c r="E104" i="13"/>
  <c r="G42" i="13"/>
  <c r="G45" i="13"/>
  <c r="X90" i="13"/>
  <c r="Z90" i="13" s="1"/>
  <c r="E100" i="13"/>
  <c r="U31" i="13"/>
  <c r="V30" i="13"/>
  <c r="T30" i="13"/>
  <c r="S30" i="13"/>
  <c r="U33" i="13"/>
  <c r="E103" i="13"/>
  <c r="U23" i="13"/>
  <c r="V18" i="13"/>
  <c r="U20" i="13"/>
  <c r="T18" i="13"/>
  <c r="S18" i="13"/>
  <c r="U21" i="13"/>
  <c r="E96" i="13"/>
  <c r="AF42" i="13" a="1"/>
  <c r="AF42" i="13" s="1"/>
  <c r="AF35" i="13" a="1"/>
  <c r="AF35" i="13" s="1"/>
  <c r="AF34" i="13" a="1"/>
  <c r="AF34" i="13" s="1"/>
  <c r="AE38" i="13" a="1"/>
  <c r="AE38" i="13" s="1"/>
  <c r="AF37" i="13" a="1"/>
  <c r="AF37" i="13" s="1"/>
  <c r="AF32" i="13" a="1"/>
  <c r="AF32" i="13" s="1"/>
  <c r="AF36" i="13" a="1"/>
  <c r="AF36" i="13" s="1"/>
  <c r="AE35" i="13" a="1"/>
  <c r="AE35" i="13" s="1"/>
  <c r="AE34" i="13" a="1"/>
  <c r="AE34" i="13" s="1"/>
  <c r="AE37" i="13" a="1"/>
  <c r="AE37" i="13" s="1"/>
  <c r="AE32" i="13" a="1"/>
  <c r="AE32" i="13" s="1"/>
  <c r="AE36" i="13" a="1"/>
  <c r="AE36" i="13" s="1"/>
  <c r="AF31" i="13" a="1"/>
  <c r="AF31" i="13" s="1"/>
  <c r="AF41" i="13" a="1"/>
  <c r="AF41" i="13" s="1"/>
  <c r="AF40" i="13" a="1"/>
  <c r="AF40" i="13" s="1"/>
  <c r="V22" i="13"/>
  <c r="V62" i="13"/>
  <c r="V64" i="13"/>
  <c r="V61" i="13"/>
  <c r="U25" i="13"/>
  <c r="U27" i="13"/>
  <c r="AE28" i="13" a="1"/>
  <c r="AE28" i="13" s="1"/>
  <c r="AE43" i="13" a="1"/>
  <c r="AE43" i="13" s="1"/>
  <c r="AF38" i="13" a="1"/>
  <c r="AF38" i="13" s="1"/>
  <c r="AE40" i="13" a="1"/>
  <c r="AE40" i="13" s="1"/>
  <c r="Z46" i="13"/>
  <c r="W109" i="13"/>
  <c r="AF30" i="13" a="1"/>
  <c r="AF30" i="13" s="1"/>
  <c r="AF29" i="13" a="1"/>
  <c r="AF29" i="13" s="1"/>
  <c r="G37" i="13"/>
  <c r="E92" i="13"/>
  <c r="AE33" i="13" a="1"/>
  <c r="AE33" i="13" s="1"/>
  <c r="AE30" i="13" a="1"/>
  <c r="AE30" i="13" s="1"/>
  <c r="W86" i="13"/>
  <c r="V48" i="13"/>
  <c r="G31" i="13"/>
  <c r="V45" i="13"/>
  <c r="AF13" i="13"/>
  <c r="AF28" i="13" s="1" a="1"/>
  <c r="AF28" i="13" s="1"/>
  <c r="V43" i="13"/>
  <c r="V44" i="13"/>
  <c r="I93" i="14" a="1"/>
  <c r="I90" i="14" a="1"/>
  <c r="I91" i="14" a="1"/>
  <c r="I92" i="14" a="1"/>
  <c r="J28" i="14"/>
  <c r="J26" i="14"/>
  <c r="J27" i="14"/>
  <c r="J29" i="14"/>
  <c r="I92" i="14" l="1"/>
  <c r="I91" i="14"/>
  <c r="I90" i="14"/>
  <c r="I93" i="14"/>
  <c r="W91" i="13"/>
  <c r="W93" i="13"/>
  <c r="Z41" i="14"/>
  <c r="X23" i="14"/>
  <c r="W23" i="14" s="1"/>
  <c r="Y23" i="14" s="1"/>
  <c r="X27" i="14"/>
  <c r="W27" i="14" s="1"/>
  <c r="Y27" i="14" s="1"/>
  <c r="X28" i="14" s="1"/>
  <c r="W28" i="14" s="1"/>
  <c r="Y28" i="14" s="1"/>
  <c r="X29" i="14" s="1"/>
  <c r="W29" i="14" s="1"/>
  <c r="Y29" i="14" s="1"/>
  <c r="Z59" i="14"/>
  <c r="H61" i="14"/>
  <c r="X45" i="14"/>
  <c r="W45" i="14" s="1"/>
  <c r="Y45" i="14" s="1"/>
  <c r="Z69" i="14"/>
  <c r="Z39" i="14"/>
  <c r="Z67" i="14"/>
  <c r="W67" i="14"/>
  <c r="Y67" i="14" s="1"/>
  <c r="X68" i="14" s="1"/>
  <c r="W68" i="14" s="1"/>
  <c r="Y68" i="14" s="1"/>
  <c r="X69" i="14" s="1"/>
  <c r="W69" i="14" s="1"/>
  <c r="Y69" i="14" s="1"/>
  <c r="X70" i="14" s="1"/>
  <c r="W70" i="14" s="1"/>
  <c r="Y70" i="14" s="1"/>
  <c r="Z70" i="14"/>
  <c r="Z68" i="14"/>
  <c r="Z40" i="14"/>
  <c r="G29" i="14"/>
  <c r="V14" i="14"/>
  <c r="U17" i="14"/>
  <c r="U15" i="14"/>
  <c r="T14" i="14"/>
  <c r="S14" i="14"/>
  <c r="U16" i="14"/>
  <c r="G27" i="14"/>
  <c r="X62" i="14"/>
  <c r="W62" i="14" s="1"/>
  <c r="Y62" i="14" s="1"/>
  <c r="X63" i="14" s="1"/>
  <c r="W63" i="14" s="1"/>
  <c r="Y63" i="14" s="1"/>
  <c r="X64" i="14" s="1"/>
  <c r="W64" i="14" s="1"/>
  <c r="Y64" i="14" s="1"/>
  <c r="W37" i="14"/>
  <c r="Y37" i="14" s="1"/>
  <c r="Z37" i="14"/>
  <c r="Z38" i="14"/>
  <c r="Z56" i="14"/>
  <c r="Z50" i="14"/>
  <c r="E38" i="14"/>
  <c r="E33" i="14"/>
  <c r="E37" i="14"/>
  <c r="E28" i="14"/>
  <c r="E31" i="14"/>
  <c r="E42" i="14"/>
  <c r="E41" i="14"/>
  <c r="E44" i="14"/>
  <c r="E45" i="14"/>
  <c r="E29" i="14"/>
  <c r="E39" i="14"/>
  <c r="E36" i="14"/>
  <c r="E34" i="14"/>
  <c r="F23" i="14"/>
  <c r="E43" i="14"/>
  <c r="U10" i="14"/>
  <c r="E27" i="14"/>
  <c r="E35" i="14"/>
  <c r="E32" i="14"/>
  <c r="F24" i="14"/>
  <c r="E22" i="14"/>
  <c r="E30" i="14"/>
  <c r="E24" i="14"/>
  <c r="F25" i="14"/>
  <c r="E23" i="14"/>
  <c r="E40" i="14"/>
  <c r="E25" i="14"/>
  <c r="F22" i="14"/>
  <c r="E26" i="14"/>
  <c r="Z57" i="14"/>
  <c r="Z51" i="14"/>
  <c r="G26" i="14"/>
  <c r="Z55" i="14"/>
  <c r="W55" i="14"/>
  <c r="Y55" i="14" s="1"/>
  <c r="Z49" i="14"/>
  <c r="W49" i="14"/>
  <c r="Y49" i="14" s="1"/>
  <c r="G28" i="14"/>
  <c r="Z58" i="14"/>
  <c r="X24" i="14"/>
  <c r="W24" i="14" s="1"/>
  <c r="Y24" i="14" s="1"/>
  <c r="X25" i="14" s="1"/>
  <c r="W25" i="14" s="1"/>
  <c r="Y25" i="14" s="1"/>
  <c r="Z52" i="14"/>
  <c r="H60" i="14"/>
  <c r="V67" i="13"/>
  <c r="Z67" i="13" s="1"/>
  <c r="V68" i="13"/>
  <c r="Z68" i="13" s="1"/>
  <c r="V70" i="13"/>
  <c r="Z70" i="13" s="1"/>
  <c r="Y91" i="13"/>
  <c r="X91" i="13" s="1"/>
  <c r="Z91" i="13" s="1"/>
  <c r="Y92" i="13" s="1"/>
  <c r="X92" i="13" s="1"/>
  <c r="Z92" i="13" s="1"/>
  <c r="Y93" i="13" s="1"/>
  <c r="X93" i="13" s="1"/>
  <c r="Z93" i="13" s="1"/>
  <c r="H97" i="13" s="1"/>
  <c r="Y100" i="13"/>
  <c r="X100" i="13" s="1"/>
  <c r="Z100" i="13" s="1"/>
  <c r="Y101" i="13" s="1"/>
  <c r="X101" i="13" s="1"/>
  <c r="Z101" i="13" s="1"/>
  <c r="Y103" i="13"/>
  <c r="X103" i="13" s="1"/>
  <c r="Z103" i="13" s="1"/>
  <c r="Y104" i="13" s="1"/>
  <c r="X104" i="13" s="1"/>
  <c r="Z104" i="13" s="1"/>
  <c r="Y105" i="13" s="1"/>
  <c r="X105" i="13" s="1"/>
  <c r="Z105" i="13" s="1"/>
  <c r="V40" i="13"/>
  <c r="Z40" i="13" s="1"/>
  <c r="V39" i="13"/>
  <c r="V38" i="13"/>
  <c r="V37" i="13"/>
  <c r="F93" i="13"/>
  <c r="G93" i="13"/>
  <c r="V20" i="13"/>
  <c r="V21" i="13"/>
  <c r="V19" i="13"/>
  <c r="W18" i="13"/>
  <c r="Y18" i="13" s="1"/>
  <c r="G108" i="13"/>
  <c r="I108" i="13" a="1"/>
  <c r="I108" i="13" s="1"/>
  <c r="H108" i="13"/>
  <c r="F108" i="13"/>
  <c r="I99" i="13" a="1"/>
  <c r="I99" i="13" s="1"/>
  <c r="H99" i="13"/>
  <c r="G99" i="13"/>
  <c r="F99" i="13"/>
  <c r="AF43" i="13" a="1"/>
  <c r="AF43" i="13" s="1"/>
  <c r="AF2" i="13" a="1"/>
  <c r="AF2" i="13" s="1"/>
  <c r="G92" i="13"/>
  <c r="F92" i="13"/>
  <c r="S25" i="13"/>
  <c r="T25" i="13"/>
  <c r="Z45" i="13"/>
  <c r="G95" i="13"/>
  <c r="F95" i="13"/>
  <c r="AE2" i="13" a="1"/>
  <c r="T20" i="13"/>
  <c r="S20" i="13"/>
  <c r="Z61" i="13"/>
  <c r="W61" i="13"/>
  <c r="Y61" i="13" s="1"/>
  <c r="X62" i="13" s="1"/>
  <c r="W62" i="13" s="1"/>
  <c r="Y62" i="13" s="1"/>
  <c r="X63" i="13" s="1"/>
  <c r="W63" i="13" s="1"/>
  <c r="Y63" i="13" s="1"/>
  <c r="X64" i="13" s="1"/>
  <c r="W64" i="13" s="1"/>
  <c r="Y64" i="13" s="1"/>
  <c r="S23" i="13"/>
  <c r="T23" i="13"/>
  <c r="I110" i="13" a="1"/>
  <c r="I110" i="13" s="1"/>
  <c r="H110" i="13"/>
  <c r="G110" i="13"/>
  <c r="F110" i="13"/>
  <c r="I112" i="13" a="1"/>
  <c r="I112" i="13" s="1"/>
  <c r="H112" i="13"/>
  <c r="G112" i="13"/>
  <c r="F112" i="13"/>
  <c r="G91" i="13"/>
  <c r="F91" i="13"/>
  <c r="V52" i="13"/>
  <c r="V49" i="13"/>
  <c r="V51" i="13"/>
  <c r="V50" i="13"/>
  <c r="Z64" i="13"/>
  <c r="I103" i="13" a="1"/>
  <c r="I103" i="13" s="1"/>
  <c r="H103" i="13"/>
  <c r="G103" i="13"/>
  <c r="F103" i="13"/>
  <c r="I106" i="13" a="1"/>
  <c r="I106" i="13" s="1"/>
  <c r="H106" i="13"/>
  <c r="G106" i="13"/>
  <c r="F106" i="13"/>
  <c r="W87" i="13"/>
  <c r="W89" i="13"/>
  <c r="X86" i="13"/>
  <c r="Z86" i="13" s="1"/>
  <c r="H90" i="13" s="1"/>
  <c r="W88" i="13"/>
  <c r="Z62" i="13"/>
  <c r="T33" i="13"/>
  <c r="S33" i="13"/>
  <c r="I102" i="13" a="1"/>
  <c r="I102" i="13" s="1"/>
  <c r="H102" i="13"/>
  <c r="G102" i="13"/>
  <c r="F102" i="13"/>
  <c r="Y108" i="13"/>
  <c r="X108" i="13" s="1"/>
  <c r="Z108" i="13" s="1"/>
  <c r="Y109" i="13" s="1"/>
  <c r="X109" i="13" s="1"/>
  <c r="Z109" i="13" s="1"/>
  <c r="F104" i="13"/>
  <c r="I104" i="13" a="1"/>
  <c r="I104" i="13" s="1"/>
  <c r="H104" i="13"/>
  <c r="G104" i="13"/>
  <c r="V56" i="13"/>
  <c r="V58" i="13"/>
  <c r="V55" i="13"/>
  <c r="V57" i="13"/>
  <c r="Z44" i="13"/>
  <c r="H96" i="13"/>
  <c r="G96" i="13"/>
  <c r="F96" i="13"/>
  <c r="I113" i="13" a="1"/>
  <c r="I113" i="13" s="1"/>
  <c r="H113" i="13"/>
  <c r="G113" i="13"/>
  <c r="F113" i="13"/>
  <c r="I98" i="13" a="1"/>
  <c r="I98" i="13" s="1"/>
  <c r="H98" i="13"/>
  <c r="G98" i="13"/>
  <c r="F98" i="13"/>
  <c r="F101" i="13"/>
  <c r="G101" i="13"/>
  <c r="I101" i="13" a="1"/>
  <c r="I101" i="13" s="1"/>
  <c r="H101" i="13"/>
  <c r="Z43" i="13"/>
  <c r="W43" i="13"/>
  <c r="Y43" i="13" s="1"/>
  <c r="V25" i="13"/>
  <c r="V23" i="13"/>
  <c r="W22" i="13"/>
  <c r="Y22" i="13" s="1"/>
  <c r="V24" i="13"/>
  <c r="V33" i="13"/>
  <c r="V31" i="13"/>
  <c r="V32" i="13"/>
  <c r="W30" i="13"/>
  <c r="Y30" i="13" s="1"/>
  <c r="Y96" i="13"/>
  <c r="X96" i="13" s="1"/>
  <c r="Z96" i="13" s="1"/>
  <c r="Y97" i="13" s="1"/>
  <c r="X97" i="13" s="1"/>
  <c r="Z97" i="13" s="1"/>
  <c r="H94" i="13"/>
  <c r="G94" i="13"/>
  <c r="F94" i="13"/>
  <c r="S31" i="13"/>
  <c r="T31" i="13"/>
  <c r="V29" i="13"/>
  <c r="V28" i="13"/>
  <c r="W26" i="13"/>
  <c r="Y26" i="13" s="1"/>
  <c r="V27" i="13"/>
  <c r="H109" i="13"/>
  <c r="G109" i="13"/>
  <c r="F109" i="13"/>
  <c r="I109" i="13" a="1"/>
  <c r="I109" i="13" s="1"/>
  <c r="F97" i="13"/>
  <c r="G97" i="13"/>
  <c r="S27" i="13"/>
  <c r="T27" i="13"/>
  <c r="S28" i="13"/>
  <c r="T28" i="13"/>
  <c r="G90" i="13"/>
  <c r="F90" i="13"/>
  <c r="S21" i="13"/>
  <c r="T21" i="13"/>
  <c r="T29" i="13"/>
  <c r="S29" i="13"/>
  <c r="G105" i="13"/>
  <c r="F105" i="13"/>
  <c r="H105" i="13"/>
  <c r="I105" i="13" a="1"/>
  <c r="I105" i="13" s="1"/>
  <c r="I100" i="13" a="1"/>
  <c r="I100" i="13" s="1"/>
  <c r="H100" i="13"/>
  <c r="G100" i="13"/>
  <c r="F100" i="13"/>
  <c r="F111" i="13"/>
  <c r="G111" i="13"/>
  <c r="I111" i="13" a="1"/>
  <c r="I111" i="13" s="1"/>
  <c r="H111" i="13"/>
  <c r="I95" i="13" a="1"/>
  <c r="I97" i="13" a="1"/>
  <c r="I94" i="13" a="1"/>
  <c r="I96" i="13" a="1"/>
  <c r="J22" i="14"/>
  <c r="J23" i="14"/>
  <c r="J24" i="14"/>
  <c r="J25" i="14"/>
  <c r="I92" i="13" a="1"/>
  <c r="I90" i="13" a="1"/>
  <c r="I91" i="13" a="1"/>
  <c r="I93" i="13" a="1"/>
  <c r="I96" i="13" l="1"/>
  <c r="I94" i="13"/>
  <c r="I97" i="13"/>
  <c r="I95" i="13"/>
  <c r="H95" i="13"/>
  <c r="C26" i="14"/>
  <c r="B26" i="14"/>
  <c r="C28" i="14"/>
  <c r="B29" i="14"/>
  <c r="B27" i="14"/>
  <c r="B28" i="14"/>
  <c r="C27" i="14"/>
  <c r="Z47" i="14"/>
  <c r="C29" i="14"/>
  <c r="B25" i="14"/>
  <c r="G25" i="14"/>
  <c r="C25" i="14"/>
  <c r="H44" i="14"/>
  <c r="B44" i="14"/>
  <c r="C44" i="14"/>
  <c r="H48" i="14"/>
  <c r="H41" i="14"/>
  <c r="B41" i="14"/>
  <c r="C41" i="14"/>
  <c r="Y59" i="14"/>
  <c r="Z53" i="14"/>
  <c r="H30" i="14"/>
  <c r="C30" i="14"/>
  <c r="B30" i="14"/>
  <c r="H42" i="14"/>
  <c r="B42" i="14"/>
  <c r="C42" i="14"/>
  <c r="H32" i="14"/>
  <c r="C32" i="14"/>
  <c r="B32" i="14"/>
  <c r="H37" i="14"/>
  <c r="C37" i="14"/>
  <c r="B37" i="14"/>
  <c r="V17" i="14"/>
  <c r="V15" i="14"/>
  <c r="W14" i="14"/>
  <c r="Y14" i="14" s="1"/>
  <c r="V16" i="14"/>
  <c r="H45" i="14"/>
  <c r="B45" i="14"/>
  <c r="C45" i="14"/>
  <c r="Y65" i="14"/>
  <c r="H31" i="14"/>
  <c r="C31" i="14"/>
  <c r="B31" i="14"/>
  <c r="B24" i="14"/>
  <c r="G24" i="14"/>
  <c r="C24" i="14"/>
  <c r="H35" i="14"/>
  <c r="C35" i="14"/>
  <c r="B35" i="14"/>
  <c r="S16" i="14"/>
  <c r="T16" i="14"/>
  <c r="H38" i="14"/>
  <c r="B38" i="14"/>
  <c r="C38" i="14"/>
  <c r="Z65" i="14"/>
  <c r="H54" i="14"/>
  <c r="H34" i="14"/>
  <c r="C34" i="14"/>
  <c r="B34" i="14"/>
  <c r="H33" i="14"/>
  <c r="B33" i="14"/>
  <c r="C33" i="14"/>
  <c r="U13" i="14"/>
  <c r="U11" i="14"/>
  <c r="V10" i="14"/>
  <c r="T10" i="14"/>
  <c r="S10" i="14"/>
  <c r="U12" i="14"/>
  <c r="X50" i="14"/>
  <c r="W50" i="14" s="1"/>
  <c r="Y50" i="14" s="1"/>
  <c r="X51" i="14" s="1"/>
  <c r="W51" i="14" s="1"/>
  <c r="Y51" i="14" s="1"/>
  <c r="X52" i="14" s="1"/>
  <c r="W52" i="14" s="1"/>
  <c r="Y52" i="14" s="1"/>
  <c r="H43" i="14"/>
  <c r="C43" i="14"/>
  <c r="B43" i="14"/>
  <c r="T15" i="14"/>
  <c r="S15" i="14"/>
  <c r="B23" i="14"/>
  <c r="G23" i="14"/>
  <c r="C23" i="14"/>
  <c r="X56" i="14"/>
  <c r="W56" i="14" s="1"/>
  <c r="Y56" i="14" s="1"/>
  <c r="T17" i="14"/>
  <c r="S17" i="14"/>
  <c r="C22" i="14"/>
  <c r="B22" i="14"/>
  <c r="G22" i="14"/>
  <c r="H36" i="14"/>
  <c r="B36" i="14"/>
  <c r="C36" i="14"/>
  <c r="X38" i="14"/>
  <c r="W38" i="14" s="1"/>
  <c r="Y38" i="14" s="1"/>
  <c r="H39" i="14"/>
  <c r="B39" i="14"/>
  <c r="C39" i="14"/>
  <c r="H62" i="14"/>
  <c r="X46" i="14"/>
  <c r="W46" i="14" s="1"/>
  <c r="Y46" i="14" s="1"/>
  <c r="H40" i="14"/>
  <c r="B40" i="14"/>
  <c r="C40" i="14"/>
  <c r="Z35" i="14"/>
  <c r="W67" i="13"/>
  <c r="Y67" i="13" s="1"/>
  <c r="X68" i="13" s="1"/>
  <c r="W68" i="13" s="1"/>
  <c r="Y68" i="13" s="1"/>
  <c r="X69" i="13" s="1"/>
  <c r="W69" i="13" s="1"/>
  <c r="Y69" i="13" s="1"/>
  <c r="X70" i="13" s="1"/>
  <c r="W70" i="13" s="1"/>
  <c r="Y70" i="13" s="1"/>
  <c r="Y65" i="13" s="1"/>
  <c r="Z37" i="13"/>
  <c r="W37" i="13"/>
  <c r="Y37" i="13" s="1"/>
  <c r="X38" i="13" s="1"/>
  <c r="W38" i="13" s="1"/>
  <c r="Y38" i="13" s="1"/>
  <c r="H55" i="13" s="1"/>
  <c r="Z39" i="13"/>
  <c r="Z65" i="13"/>
  <c r="Z41" i="13"/>
  <c r="Z38" i="13"/>
  <c r="X27" i="13"/>
  <c r="W27" i="13" s="1"/>
  <c r="Y27" i="13" s="1"/>
  <c r="X28" i="13" s="1"/>
  <c r="W28" i="13" s="1"/>
  <c r="Y28" i="13" s="1"/>
  <c r="X29" i="13" s="1"/>
  <c r="W29" i="13" s="1"/>
  <c r="Y29" i="13" s="1"/>
  <c r="I90" i="13"/>
  <c r="I91" i="13"/>
  <c r="I92" i="13"/>
  <c r="I93" i="13"/>
  <c r="Z57" i="13"/>
  <c r="Z50" i="13"/>
  <c r="X31" i="13"/>
  <c r="W31" i="13" s="1"/>
  <c r="Y31" i="13" s="1"/>
  <c r="X32" i="13" s="1"/>
  <c r="W32" i="13" s="1"/>
  <c r="Y32" i="13" s="1"/>
  <c r="X33" i="13" s="1"/>
  <c r="W33" i="13" s="1"/>
  <c r="Y33" i="13" s="1"/>
  <c r="Z55" i="13"/>
  <c r="W55" i="13"/>
  <c r="Y55" i="13" s="1"/>
  <c r="X56" i="13" s="1"/>
  <c r="W56" i="13" s="1"/>
  <c r="Y56" i="13" s="1"/>
  <c r="Z51" i="13"/>
  <c r="H60" i="13"/>
  <c r="Y87" i="13"/>
  <c r="X87" i="13" s="1"/>
  <c r="Z87" i="13" s="1"/>
  <c r="H91" i="13" s="1"/>
  <c r="Z59" i="13"/>
  <c r="X44" i="13"/>
  <c r="W44" i="13" s="1"/>
  <c r="Y44" i="13" s="1"/>
  <c r="Z49" i="13"/>
  <c r="W49" i="13"/>
  <c r="Y49" i="13" s="1"/>
  <c r="Z56" i="13"/>
  <c r="X19" i="13"/>
  <c r="W19" i="13" s="1"/>
  <c r="Y19" i="13" s="1"/>
  <c r="X20" i="13" s="1"/>
  <c r="W20" i="13" s="1"/>
  <c r="Y20" i="13" s="1"/>
  <c r="X21" i="13" s="1"/>
  <c r="W21" i="13" s="1"/>
  <c r="Y21" i="13" s="1"/>
  <c r="X23" i="13"/>
  <c r="W23" i="13" s="1"/>
  <c r="Y23" i="13" s="1"/>
  <c r="X24" i="13" s="1"/>
  <c r="W24" i="13" s="1"/>
  <c r="Y24" i="13" s="1"/>
  <c r="X25" i="13" s="1"/>
  <c r="W25" i="13" s="1"/>
  <c r="Y25" i="13" s="1"/>
  <c r="Z58" i="13"/>
  <c r="Z52" i="13"/>
  <c r="Y59" i="13"/>
  <c r="F26" i="13"/>
  <c r="U14" i="13"/>
  <c r="AE2" i="13"/>
  <c r="F29" i="13"/>
  <c r="F28" i="13"/>
  <c r="F27" i="13"/>
  <c r="J29" i="13"/>
  <c r="J26" i="13"/>
  <c r="J28" i="13"/>
  <c r="J27" i="13"/>
  <c r="K26" i="14" l="1"/>
  <c r="K36" i="14"/>
  <c r="K38" i="14"/>
  <c r="K28" i="14"/>
  <c r="I26" i="14"/>
  <c r="H26" i="14" s="1"/>
  <c r="K40" i="14"/>
  <c r="K29" i="14"/>
  <c r="K45" i="14"/>
  <c r="K27" i="14"/>
  <c r="K39" i="14"/>
  <c r="K43" i="14"/>
  <c r="K34" i="14"/>
  <c r="K31" i="14"/>
  <c r="Y47" i="14"/>
  <c r="K42" i="14"/>
  <c r="K30" i="14"/>
  <c r="T11" i="14"/>
  <c r="S11" i="14"/>
  <c r="X15" i="14"/>
  <c r="W15" i="14" s="1"/>
  <c r="Y15" i="14" s="1"/>
  <c r="I27" i="14" s="1"/>
  <c r="H27" i="14" s="1"/>
  <c r="K35" i="14"/>
  <c r="K41" i="14"/>
  <c r="H49" i="14"/>
  <c r="X57" i="14"/>
  <c r="W57" i="14" s="1"/>
  <c r="Y57" i="14" s="1"/>
  <c r="I38" i="14"/>
  <c r="S12" i="14"/>
  <c r="T12" i="14"/>
  <c r="K37" i="14"/>
  <c r="I42" i="14"/>
  <c r="H55" i="14"/>
  <c r="X39" i="14"/>
  <c r="W39" i="14" s="1"/>
  <c r="Y39" i="14" s="1"/>
  <c r="T13" i="14"/>
  <c r="S13" i="14"/>
  <c r="W10" i="14"/>
  <c r="Y10" i="14" s="1"/>
  <c r="I22" i="14" s="1"/>
  <c r="V12" i="14"/>
  <c r="V11" i="14"/>
  <c r="V13" i="14"/>
  <c r="K32" i="14"/>
  <c r="H66" i="14"/>
  <c r="I30" i="14"/>
  <c r="K44" i="14"/>
  <c r="H63" i="14"/>
  <c r="Y41" i="14"/>
  <c r="I34" i="14"/>
  <c r="K33" i="14"/>
  <c r="Z35" i="13"/>
  <c r="Y88" i="13"/>
  <c r="X88" i="13" s="1"/>
  <c r="Z88" i="13" s="1"/>
  <c r="H92" i="13" s="1"/>
  <c r="X39" i="13"/>
  <c r="W39" i="13" s="1"/>
  <c r="Y39" i="13" s="1"/>
  <c r="X40" i="13" s="1"/>
  <c r="W40" i="13" s="1"/>
  <c r="Y40" i="13" s="1"/>
  <c r="H57" i="13" s="1"/>
  <c r="Z53" i="13"/>
  <c r="H54" i="13"/>
  <c r="H49" i="13"/>
  <c r="X57" i="13"/>
  <c r="W57" i="13" s="1"/>
  <c r="Y57" i="13" s="1"/>
  <c r="G27" i="13"/>
  <c r="G28" i="13"/>
  <c r="G26" i="13"/>
  <c r="S14" i="13"/>
  <c r="U17" i="13"/>
  <c r="T14" i="13"/>
  <c r="U16" i="13"/>
  <c r="U15" i="13"/>
  <c r="V14" i="13"/>
  <c r="H61" i="13"/>
  <c r="X45" i="13"/>
  <c r="W45" i="13" s="1"/>
  <c r="Y45" i="13" s="1"/>
  <c r="X50" i="13"/>
  <c r="W50" i="13" s="1"/>
  <c r="Y50" i="13" s="1"/>
  <c r="X51" i="13" s="1"/>
  <c r="W51" i="13" s="1"/>
  <c r="Y51" i="13" s="1"/>
  <c r="X52" i="13" s="1"/>
  <c r="W52" i="13" s="1"/>
  <c r="Y52" i="13" s="1"/>
  <c r="G29" i="13"/>
  <c r="H48" i="13"/>
  <c r="E36" i="13"/>
  <c r="E35" i="13"/>
  <c r="E37" i="13"/>
  <c r="E28" i="13"/>
  <c r="E27" i="13"/>
  <c r="F25" i="13"/>
  <c r="E25" i="13"/>
  <c r="F22" i="13"/>
  <c r="U10" i="13"/>
  <c r="E32" i="13"/>
  <c r="F24" i="13"/>
  <c r="F23" i="13"/>
  <c r="E22" i="13"/>
  <c r="E24" i="13"/>
  <c r="E23" i="13"/>
  <c r="E31" i="13"/>
  <c r="E39" i="13"/>
  <c r="E26" i="13"/>
  <c r="E42" i="13"/>
  <c r="E43" i="13"/>
  <c r="E33" i="13"/>
  <c r="E44" i="13"/>
  <c r="E34" i="13"/>
  <c r="E45" i="13"/>
  <c r="E40" i="13"/>
  <c r="E29" i="13"/>
  <c r="E30" i="13"/>
  <c r="E38" i="13"/>
  <c r="E41" i="13"/>
  <c r="Z47" i="13"/>
  <c r="J22" i="13"/>
  <c r="J24" i="13"/>
  <c r="J23" i="13"/>
  <c r="J25" i="13"/>
  <c r="I43" i="14" l="1"/>
  <c r="X16" i="14"/>
  <c r="W16" i="14" s="1"/>
  <c r="Y16" i="14" s="1"/>
  <c r="X17" i="14" s="1"/>
  <c r="W17" i="14" s="1"/>
  <c r="Y17" i="14" s="1"/>
  <c r="I31" i="14"/>
  <c r="I39" i="14"/>
  <c r="I35" i="14"/>
  <c r="H50" i="14"/>
  <c r="X58" i="14"/>
  <c r="W58" i="14" s="1"/>
  <c r="Y58" i="14" s="1"/>
  <c r="H81" i="14"/>
  <c r="H75" i="14"/>
  <c r="H67" i="14"/>
  <c r="H56" i="14"/>
  <c r="X40" i="14"/>
  <c r="W40" i="14" s="1"/>
  <c r="Y40" i="14" s="1"/>
  <c r="X11" i="14"/>
  <c r="W11" i="14" s="1"/>
  <c r="Y11" i="14" s="1"/>
  <c r="I23" i="14" s="1"/>
  <c r="B27" i="13"/>
  <c r="C26" i="13"/>
  <c r="C27" i="13"/>
  <c r="B29" i="13"/>
  <c r="H56" i="13"/>
  <c r="Y35" i="13"/>
  <c r="Y89" i="13"/>
  <c r="X89" i="13" s="1"/>
  <c r="Z89" i="13" s="1"/>
  <c r="H93" i="13" s="1"/>
  <c r="B28" i="13"/>
  <c r="C28" i="13"/>
  <c r="C29" i="13"/>
  <c r="H67" i="13"/>
  <c r="H80" i="13" s="1"/>
  <c r="H85" i="13" s="1"/>
  <c r="B26" i="13"/>
  <c r="Y47" i="13"/>
  <c r="W14" i="13"/>
  <c r="Y14" i="13" s="1"/>
  <c r="V16" i="13"/>
  <c r="V17" i="13"/>
  <c r="V15" i="13"/>
  <c r="H42" i="13"/>
  <c r="C42" i="13"/>
  <c r="B42" i="13"/>
  <c r="H35" i="13"/>
  <c r="B35" i="13"/>
  <c r="C35" i="13"/>
  <c r="H39" i="13"/>
  <c r="B39" i="13"/>
  <c r="C39" i="13"/>
  <c r="H36" i="13"/>
  <c r="C36" i="13"/>
  <c r="B36" i="13"/>
  <c r="H31" i="13"/>
  <c r="C31" i="13"/>
  <c r="B31" i="13"/>
  <c r="H66" i="13"/>
  <c r="S17" i="13"/>
  <c r="T17" i="13"/>
  <c r="B38" i="13"/>
  <c r="H38" i="13"/>
  <c r="C38" i="13"/>
  <c r="G24" i="13"/>
  <c r="C24" i="13" s="1"/>
  <c r="H40" i="13"/>
  <c r="C40" i="13"/>
  <c r="B40" i="13"/>
  <c r="H62" i="13"/>
  <c r="X46" i="13"/>
  <c r="W46" i="13" s="1"/>
  <c r="Y46" i="13" s="1"/>
  <c r="Y41" i="13" s="1"/>
  <c r="H44" i="13"/>
  <c r="B44" i="13"/>
  <c r="C44" i="13"/>
  <c r="S15" i="13"/>
  <c r="T15" i="13"/>
  <c r="H41" i="13"/>
  <c r="B41" i="13"/>
  <c r="C41" i="13"/>
  <c r="H30" i="13"/>
  <c r="C30" i="13"/>
  <c r="B30" i="13"/>
  <c r="H32" i="13"/>
  <c r="C32" i="13"/>
  <c r="B32" i="13"/>
  <c r="V10" i="13"/>
  <c r="S10" i="13"/>
  <c r="U12" i="13"/>
  <c r="T10" i="13"/>
  <c r="U13" i="13"/>
  <c r="U11" i="13"/>
  <c r="G22" i="13"/>
  <c r="C22" i="13" s="1"/>
  <c r="H33" i="13"/>
  <c r="B33" i="13"/>
  <c r="C33" i="13"/>
  <c r="H43" i="13"/>
  <c r="B43" i="13"/>
  <c r="C43" i="13"/>
  <c r="T16" i="13"/>
  <c r="S16" i="13"/>
  <c r="H37" i="13"/>
  <c r="C37" i="13"/>
  <c r="B37" i="13"/>
  <c r="G23" i="13"/>
  <c r="C23" i="13" s="1"/>
  <c r="H45" i="13"/>
  <c r="B45" i="13"/>
  <c r="C45" i="13"/>
  <c r="H34" i="13"/>
  <c r="B34" i="13"/>
  <c r="C34" i="13"/>
  <c r="G25" i="13"/>
  <c r="C25" i="13" s="1"/>
  <c r="H50" i="13"/>
  <c r="H68" i="13" s="1"/>
  <c r="X58" i="13"/>
  <c r="W58" i="13" s="1"/>
  <c r="Y58" i="13" s="1"/>
  <c r="H51" i="13" s="1"/>
  <c r="I40" i="14" l="1"/>
  <c r="I44" i="14"/>
  <c r="I36" i="14"/>
  <c r="I32" i="14"/>
  <c r="I28" i="14"/>
  <c r="H28" i="14" s="1"/>
  <c r="I29" i="14"/>
  <c r="H29" i="14" s="1"/>
  <c r="I45" i="14"/>
  <c r="I33" i="14"/>
  <c r="I37" i="14"/>
  <c r="I41" i="14"/>
  <c r="H68" i="14"/>
  <c r="H84" i="14"/>
  <c r="K22" i="14"/>
  <c r="H22" i="14" s="1"/>
  <c r="H57" i="14"/>
  <c r="Y35" i="14"/>
  <c r="H51" i="14"/>
  <c r="Y53" i="14"/>
  <c r="X12" i="14"/>
  <c r="W12" i="14" s="1"/>
  <c r="Y12" i="14" s="1"/>
  <c r="H80" i="14"/>
  <c r="H74" i="14"/>
  <c r="K27" i="13"/>
  <c r="K26" i="13"/>
  <c r="B22" i="13"/>
  <c r="B25" i="13"/>
  <c r="B24" i="13"/>
  <c r="B23" i="13"/>
  <c r="K29" i="13"/>
  <c r="H74" i="13"/>
  <c r="K23" i="13" s="1"/>
  <c r="K28" i="13"/>
  <c r="K33" i="13"/>
  <c r="K30" i="13"/>
  <c r="K32" i="13"/>
  <c r="Y53" i="13"/>
  <c r="K44" i="13"/>
  <c r="K31" i="13"/>
  <c r="K39" i="13"/>
  <c r="K41" i="13"/>
  <c r="K42" i="13"/>
  <c r="K45" i="13"/>
  <c r="H79" i="13"/>
  <c r="H86" i="13" s="1"/>
  <c r="H73" i="13"/>
  <c r="V12" i="13"/>
  <c r="W10" i="13"/>
  <c r="Y10" i="13" s="1"/>
  <c r="I22" i="13" s="1"/>
  <c r="V13" i="13"/>
  <c r="V11" i="13"/>
  <c r="K34" i="13"/>
  <c r="K43" i="13"/>
  <c r="K35" i="13"/>
  <c r="T12" i="13"/>
  <c r="S12" i="13"/>
  <c r="H69" i="13"/>
  <c r="H63" i="13"/>
  <c r="I34" i="13"/>
  <c r="K40" i="13"/>
  <c r="H81" i="13"/>
  <c r="H84" i="13" s="1"/>
  <c r="H75" i="13"/>
  <c r="S11" i="13"/>
  <c r="T11" i="13"/>
  <c r="I26" i="13"/>
  <c r="S13" i="13"/>
  <c r="T13" i="13"/>
  <c r="X15" i="13"/>
  <c r="W15" i="13" s="1"/>
  <c r="Y15" i="13" s="1"/>
  <c r="X16" i="13" s="1"/>
  <c r="W16" i="13" s="1"/>
  <c r="Y16" i="13" s="1"/>
  <c r="K38" i="13"/>
  <c r="K36" i="13"/>
  <c r="K37" i="13"/>
  <c r="H26" i="13" l="1"/>
  <c r="H79" i="14"/>
  <c r="H73" i="14"/>
  <c r="K23" i="14"/>
  <c r="H23" i="14" s="1"/>
  <c r="H85" i="14"/>
  <c r="H69" i="14"/>
  <c r="I24" i="14"/>
  <c r="X13" i="14"/>
  <c r="W13" i="14" s="1"/>
  <c r="Y13" i="14" s="1"/>
  <c r="I25" i="14" s="1"/>
  <c r="K24" i="13"/>
  <c r="K22" i="13"/>
  <c r="H22" i="13" s="1"/>
  <c r="I30" i="13"/>
  <c r="I38" i="13"/>
  <c r="I42" i="13"/>
  <c r="I31" i="13"/>
  <c r="X11" i="13"/>
  <c r="W11" i="13" s="1"/>
  <c r="Y11" i="13" s="1"/>
  <c r="I43" i="13" s="1"/>
  <c r="X17" i="13"/>
  <c r="W17" i="13" s="1"/>
  <c r="Y17" i="13" s="1"/>
  <c r="H72" i="13"/>
  <c r="H78" i="13"/>
  <c r="H87" i="13" s="1"/>
  <c r="H72" i="14" l="1"/>
  <c r="H78" i="14"/>
  <c r="K24" i="14"/>
  <c r="H24" i="14" s="1"/>
  <c r="H86" i="14"/>
  <c r="K25" i="13"/>
  <c r="I35" i="13"/>
  <c r="I27" i="13"/>
  <c r="H27" i="13" s="1"/>
  <c r="I23" i="13"/>
  <c r="H23" i="13" s="1"/>
  <c r="I39" i="13"/>
  <c r="X12" i="13"/>
  <c r="W12" i="13" s="1"/>
  <c r="Y12" i="13" s="1"/>
  <c r="K25" i="14" l="1"/>
  <c r="H25" i="14" s="1"/>
  <c r="H87" i="14"/>
  <c r="I24" i="13"/>
  <c r="H24" i="13" s="1"/>
  <c r="I44" i="13"/>
  <c r="I36" i="13"/>
  <c r="I40" i="13"/>
  <c r="I28" i="13"/>
  <c r="H28" i="13" s="1"/>
  <c r="I32" i="13"/>
  <c r="X13" i="13"/>
  <c r="W13" i="13" s="1"/>
  <c r="Y13" i="13" s="1"/>
  <c r="I25" i="13" l="1"/>
  <c r="H25" i="13" s="1"/>
  <c r="I29" i="13"/>
  <c r="H29" i="13" s="1"/>
  <c r="I33" i="13"/>
  <c r="I45" i="13"/>
  <c r="I41" i="13"/>
  <c r="I37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<sst xmlns="http://schemas.openxmlformats.org/spreadsheetml/2006/main" count="804" uniqueCount="124">
  <si>
    <t>energy_supplier_id</t>
  </si>
  <si>
    <t>balance_responsible_id</t>
  </si>
  <si>
    <t>quantity</t>
  </si>
  <si>
    <t>1. kvarter</t>
  </si>
  <si>
    <t>2. kvarter</t>
  </si>
  <si>
    <t>3. kvarter</t>
  </si>
  <si>
    <t>4. kvarter</t>
  </si>
  <si>
    <t>mp id</t>
  </si>
  <si>
    <t>resolution</t>
  </si>
  <si>
    <t>es_id</t>
  </si>
  <si>
    <t>brp_id</t>
  </si>
  <si>
    <t>type</t>
  </si>
  <si>
    <t>settlement_method</t>
  </si>
  <si>
    <t>note</t>
  </si>
  <si>
    <t>Kvarterssummer</t>
  </si>
  <si>
    <t>Timesummer (delt med 4)</t>
  </si>
  <si>
    <t>Energy Suppliers</t>
  </si>
  <si>
    <t>Balance responsibles</t>
  </si>
  <si>
    <t>ga_id</t>
  </si>
  <si>
    <t>Grid Areas</t>
  </si>
  <si>
    <t>Kvarter</t>
  </si>
  <si>
    <t>Mellemregninger</t>
  </si>
  <si>
    <t>Aggregering</t>
  </si>
  <si>
    <t>Har SKMP</t>
  </si>
  <si>
    <t>Har GLMP</t>
  </si>
  <si>
    <t>Type</t>
  </si>
  <si>
    <t>Total consumtion 15M</t>
  </si>
  <si>
    <t>Total consumption 1H / 4</t>
  </si>
  <si>
    <t>Total production 15M</t>
  </si>
  <si>
    <t>Total production 1H / 4</t>
  </si>
  <si>
    <t>el ind i ga (1H målepunkter)</t>
  </si>
  <si>
    <t>el ind i ga (15M målepunkter)</t>
  </si>
  <si>
    <t>el ud af ga (1H målepunkter)</t>
  </si>
  <si>
    <t>null</t>
  </si>
  <si>
    <t>net_exchange_per_ga</t>
  </si>
  <si>
    <t>Total flex consumtion 15M</t>
  </si>
  <si>
    <t>temp_flex_consumption</t>
  </si>
  <si>
    <t>temp_production</t>
  </si>
  <si>
    <t>grid_loss</t>
  </si>
  <si>
    <t>Total nonprofiled consumtion 15M</t>
  </si>
  <si>
    <t>positive_grid_loss</t>
  </si>
  <si>
    <t>negative_grid_loss</t>
  </si>
  <si>
    <t>el ud af ga (15M målepunkter)</t>
  </si>
  <si>
    <t>Total flex consumtion 1H / 4</t>
  </si>
  <si>
    <t>Total nonprofiled consumtion 1H / 4</t>
  </si>
  <si>
    <t>Before Round</t>
  </si>
  <si>
    <t>Diff</t>
  </si>
  <si>
    <t>After Round</t>
  </si>
  <si>
    <t>Wrong Round</t>
  </si>
  <si>
    <t>&lt;-- These should be identical --&gt;</t>
  </si>
  <si>
    <t>totalProduction1H_quarter1</t>
  </si>
  <si>
    <t>totalProduction1H_quarter2</t>
  </si>
  <si>
    <t>totalProduction1H_quarter3</t>
  </si>
  <si>
    <t>totalProduction1H_quarter4</t>
  </si>
  <si>
    <t>totalFlex1H_quarter1</t>
  </si>
  <si>
    <t>totalFlex1H_quarter2</t>
  </si>
  <si>
    <t>totalFlex1H_quarter3</t>
  </si>
  <si>
    <t>totalFlex1H_quarter4</t>
  </si>
  <si>
    <t>totalNonprofiled1H_quarter1</t>
  </si>
  <si>
    <t>totalNonprofiled1H_quarter2</t>
  </si>
  <si>
    <t>totalNonprofiled1H_quarter3</t>
  </si>
  <si>
    <t>totalNonprofiled1H_quarter4</t>
  </si>
  <si>
    <t>powerIn1H_quarter1</t>
  </si>
  <si>
    <t>powerIn1H_quarter2</t>
  </si>
  <si>
    <t>powerIn1H_quarter3</t>
  </si>
  <si>
    <t>powerIn1H_quarter4</t>
  </si>
  <si>
    <t>powerOut1H_quarter1</t>
  </si>
  <si>
    <t>powerOut1H_quarter2</t>
  </si>
  <si>
    <t>powerOut1H_quarter3</t>
  </si>
  <si>
    <t>powerOut1H_quarter4</t>
  </si>
  <si>
    <t>totalConsumption_quarter1</t>
  </si>
  <si>
    <t>totalConsumption_quarter2</t>
  </si>
  <si>
    <t>totalConsumption_quarter3</t>
  </si>
  <si>
    <t>totalConsumption_quarter4</t>
  </si>
  <si>
    <t>Quarter1</t>
  </si>
  <si>
    <t>Quarter2</t>
  </si>
  <si>
    <t>Quarter3</t>
  </si>
  <si>
    <t>Quarter4</t>
  </si>
  <si>
    <t>GLMP/SKMP</t>
  </si>
  <si>
    <t>total_consumption</t>
  </si>
  <si>
    <t>net_exchange_per_neighbour_ga</t>
  </si>
  <si>
    <t>from_ga</t>
  </si>
  <si>
    <t>to_ga</t>
  </si>
  <si>
    <t>neighbour ga</t>
  </si>
  <si>
    <t>neighbour_ga afrunding</t>
  </si>
  <si>
    <t>number</t>
  </si>
  <si>
    <t>Number</t>
  </si>
  <si>
    <t>from_grid_area</t>
  </si>
  <si>
    <t>ga_brp_es</t>
  </si>
  <si>
    <t>170000000000001000</t>
  </si>
  <si>
    <t>E17</t>
  </si>
  <si>
    <t>D01</t>
  </si>
  <si>
    <t>PT1H</t>
  </si>
  <si>
    <t>1000000000000</t>
  </si>
  <si>
    <t>1100000000000</t>
  </si>
  <si>
    <t>800</t>
  </si>
  <si>
    <t>801</t>
  </si>
  <si>
    <t>glmp</t>
  </si>
  <si>
    <t>180000000000001000</t>
  </si>
  <si>
    <t>170000000000000201</t>
  </si>
  <si>
    <t>170000000000000101</t>
  </si>
  <si>
    <t>180000000000000001</t>
  </si>
  <si>
    <t>200000000000000001</t>
  </si>
  <si>
    <t>E18</t>
  </si>
  <si>
    <t>E20</t>
  </si>
  <si>
    <t>3000000000000</t>
  </si>
  <si>
    <t>skmp</t>
  </si>
  <si>
    <t>PT15M</t>
  </si>
  <si>
    <t>2000000000000</t>
  </si>
  <si>
    <t>2200000000000</t>
  </si>
  <si>
    <t>E02</t>
  </si>
  <si>
    <t>All energy suppliers</t>
  </si>
  <si>
    <t>All balance responsibles</t>
  </si>
  <si>
    <t>settlement method/type</t>
  </si>
  <si>
    <t>TotalHour</t>
  </si>
  <si>
    <t>170000000000000102</t>
  </si>
  <si>
    <t>170000000000000202</t>
  </si>
  <si>
    <t>3300000000000</t>
  </si>
  <si>
    <t>production</t>
  </si>
  <si>
    <t>180000000000000002</t>
  </si>
  <si>
    <t>200000000000000002</t>
  </si>
  <si>
    <t>4000000000000</t>
  </si>
  <si>
    <t>4400000000000</t>
  </si>
  <si>
    <t>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</si>
</sst>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0" fillId="2" borderId="0" xfId="0" applyNumberFormat="1" applyFill="1"/>
    <xf numFmtId="0" fontId="0" fillId="2" borderId="0" xfId="0" applyFill="1"/>
    <xf numFmtId="49" fontId="1" fillId="2" borderId="1" xfId="0" applyNumberFormat="1" applyFont="1" applyFill="1" applyBorder="1"/>
    <xf numFmtId="49" fontId="4" fillId="2" borderId="1" xfId="0" applyNumberFormat="1" applyFont="1" applyFill="1" applyBorder="1"/>
    <xf numFmtId="0" fontId="4" fillId="2" borderId="1" xfId="0" applyFont="1" applyFill="1" applyBorder="1"/>
    <xf numFmtId="0" fontId="6" fillId="2" borderId="1" xfId="0" applyFont="1" applyFill="1" applyBorder="1"/>
    <xf numFmtId="49" fontId="6" fillId="2" borderId="1" xfId="0" applyNumberFormat="1" applyFont="1" applyFill="1" applyBorder="1"/>
    <xf numFmtId="0" fontId="0" fillId="2" borderId="1" xfId="0" applyFill="1" applyBorder="1"/>
    <xf numFmtId="164" fontId="5" fillId="2" borderId="1" xfId="0" applyNumberFormat="1" applyFont="1" applyFill="1" applyBorder="1"/>
    <xf numFmtId="49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49" fontId="0" fillId="3" borderId="2" xfId="0" applyNumberFormat="1" applyFill="1" applyBorder="1"/>
    <xf numFmtId="49" fontId="8" fillId="2" borderId="0" xfId="0" applyNumberFormat="1" applyFont="1" applyFill="1"/>
    <xf numFmtId="49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3" borderId="1" xfId="0" applyFont="1" applyFill="1" applyBorder="1"/>
    <xf numFmtId="49" fontId="2" fillId="2" borderId="1" xfId="0" applyNumberFormat="1" applyFont="1" applyFill="1" applyBorder="1"/>
    <xf numFmtId="165" fontId="5" fillId="2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164" fontId="5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/>
    <xf numFmtId="164" fontId="5" fillId="2" borderId="1" xfId="0" applyNumberFormat="1" applyFont="1" applyFill="1" applyBorder="1" applyAlignment="1">
      <alignment horizontal="center"/>
    </xf>
    <xf numFmtId="49" fontId="5" fillId="2" borderId="0" xfId="0" applyNumberFormat="1" applyFont="1" applyFill="1"/>
    <xf numFmtId="49" fontId="5" fillId="2" borderId="1" xfId="0" applyNumberFormat="1" applyFont="1" applyFill="1" applyBorder="1"/>
    <xf numFmtId="0" fontId="5" fillId="2" borderId="1" xfId="0" applyFont="1" applyFill="1" applyBorder="1"/>
    <xf numFmtId="0" fontId="5" fillId="2" borderId="0" xfId="0" applyFont="1" applyFill="1"/>
    <xf numFmtId="164" fontId="5" fillId="5" borderId="1" xfId="0" applyNumberFormat="1" applyFont="1" applyFill="1" applyBorder="1"/>
    <xf numFmtId="49" fontId="0" fillId="6" borderId="0" xfId="0" applyNumberFormat="1" applyFill="1"/>
    <xf numFmtId="49" fontId="6" fillId="2" borderId="0" xfId="0" applyNumberFormat="1" applyFont="1" applyFill="1"/>
    <xf numFmtId="0" fontId="0" fillId="7" borderId="1" xfId="0" applyFill="1" applyBorder="1"/>
    <xf numFmtId="164" fontId="1" fillId="7" borderId="1" xfId="0" applyNumberFormat="1" applyFont="1" applyFill="1" applyBorder="1"/>
    <xf numFmtId="164" fontId="1" fillId="7" borderId="1" xfId="0" applyNumberFormat="1" applyFont="1" applyFill="1" applyBorder="1" applyAlignment="1">
      <alignment horizontal="right" vertical="center"/>
    </xf>
    <xf numFmtId="0" fontId="0" fillId="7" borderId="9" xfId="0" applyFill="1" applyBorder="1"/>
    <xf numFmtId="49" fontId="9" fillId="2" borderId="0" xfId="0" applyNumberFormat="1" applyFont="1" applyFill="1"/>
    <xf numFmtId="0" fontId="9" fillId="2" borderId="0" xfId="0" applyFont="1" applyFill="1"/>
    <xf numFmtId="164" fontId="0" fillId="2" borderId="0" xfId="0" applyNumberFormat="1" applyFill="1"/>
    <xf numFmtId="0" fontId="10" fillId="3" borderId="1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4" fontId="0" fillId="6" borderId="0" xfId="0" applyNumberFormat="1" applyFill="1"/>
    <xf numFmtId="164" fontId="5" fillId="2" borderId="0" xfId="0" applyNumberFormat="1" applyFont="1" applyFill="1"/>
    <xf numFmtId="164" fontId="0" fillId="8" borderId="0" xfId="0" applyNumberFormat="1" applyFill="1"/>
    <xf numFmtId="0" fontId="7" fillId="4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numFmt numFmtId="30" formatCode="@"/>
      <fill>
        <patternFill patternType="solid">
          <fgColor rgb="FF000000"/>
          <bgColor rgb="FFFFFFFF"/>
        </patternFill>
      </fill>
    </dxf>
    <dxf>
      <numFmt numFmtId="30" formatCode="@"/>
      <fill>
        <patternFill patternType="solid">
          <fgColor rgb="FF000000"/>
          <bgColor rgb="FFFFFFFF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164" formatCode="0.000"/>
      <fill>
        <patternFill patternType="solid">
          <fgColor rgb="FF000000"/>
          <bgColor theme="7" tint="0.79998168889431442"/>
        </patternFill>
      </fill>
    </dxf>
    <dxf>
      <numFmt numFmtId="164" formatCode="0.000"/>
      <fill>
        <patternFill patternType="solid">
          <fgColor rgb="FF000000"/>
          <bgColor rgb="FFFFFFFF"/>
        </patternFill>
      </fill>
    </dxf>
    <dxf>
      <numFmt numFmtId="164" formatCode="0.000"/>
      <fill>
        <patternFill patternType="solid">
          <fgColor rgb="FF000000"/>
          <bgColor rgb="FFFFFFFF"/>
        </patternFill>
      </fill>
    </dxf>
    <dxf>
      <numFmt numFmtId="164" formatCode="0.000"/>
      <fill>
        <patternFill patternType="solid">
          <fgColor indexed="64"/>
          <bgColor theme="0"/>
        </patternFill>
      </fill>
    </dxf>
    <dxf>
      <numFmt numFmtId="164" formatCode="0.0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numFmt numFmtId="30" formatCode="@"/>
      <fill>
        <patternFill patternType="solid">
          <fgColor rgb="FF000000"/>
          <bgColor rgb="FFFFFFFF"/>
        </patternFill>
      </fill>
    </dxf>
    <dxf>
      <numFmt numFmtId="30" formatCode="@"/>
      <fill>
        <patternFill patternType="solid">
          <fgColor rgb="FF000000"/>
          <bgColor rgb="FFFFFFFF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164" formatCode="0.000"/>
      <fill>
        <patternFill patternType="solid">
          <fgColor rgb="FF000000"/>
          <bgColor theme="7" tint="0.79998168889431442"/>
        </patternFill>
      </fill>
    </dxf>
    <dxf>
      <numFmt numFmtId="164" formatCode="0.000"/>
      <fill>
        <patternFill patternType="solid">
          <fgColor rgb="FF000000"/>
          <bgColor rgb="FFFFFFFF"/>
        </patternFill>
      </fill>
    </dxf>
    <dxf>
      <numFmt numFmtId="164" formatCode="0.000"/>
      <fill>
        <patternFill patternType="solid">
          <fgColor rgb="FF000000"/>
          <bgColor rgb="FFFFFFFF"/>
        </patternFill>
      </fill>
    </dxf>
    <dxf>
      <numFmt numFmtId="164" formatCode="0.000"/>
      <fill>
        <patternFill patternType="solid">
          <fgColor indexed="64"/>
          <bgColor theme="0"/>
        </patternFill>
      </fill>
    </dxf>
    <dxf>
      <numFmt numFmtId="164" formatCode="0.0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40C0C-D490-4B8B-8FFE-97513EB8D0E7}" name="Tabel13423232" displayName="Tabel13423232" ref="C1:Q19" totalsRowShown="0" headerRowDxfId="53" dataDxfId="52">
  <autoFilter ref="C1:Q19" xr:uid="{3814BBFA-A2E3-4A77-AAB1-6B1FF8D878B1}"/>
  <tableColumns count="15">
    <tableColumn id="1" xr3:uid="{76A8F133-E339-4166-9889-75ABE751BCAB}" name="mp id" dataDxfId="51"/>
    <tableColumn id="2" xr3:uid="{1B579FCD-1465-44FE-8B36-EB55B291F3CC}" name="type" dataDxfId="50"/>
    <tableColumn id="3" xr3:uid="{B9D4BF6E-68CE-4EDC-824E-2E304C8A6792}" name="settlement_method" dataDxfId="49"/>
    <tableColumn id="4" xr3:uid="{E08B1138-BBCE-42C7-AB10-2D0656295EE8}" name="Quarter1" dataDxfId="48"/>
    <tableColumn id="5" xr3:uid="{C2A62008-C11C-40AF-BADE-9BECB17C2CB5}" name="Quarter2" dataDxfId="47"/>
    <tableColumn id="13" xr3:uid="{DEA308C2-2194-4147-8964-752027DD4EEE}" name="Quarter3" dataDxfId="46"/>
    <tableColumn id="14" xr3:uid="{99EDB656-2010-4725-ADAC-B357D42A368F}" name="Quarter4" dataDxfId="45"/>
    <tableColumn id="15" xr3:uid="{EB584120-A6C9-4E5A-970D-32D389F9F09A}" name="TotalHour" dataDxfId="44">
      <calculatedColumnFormula>IF(C2="","",SUM(F2:I2))</calculatedColumnFormula>
    </tableColumn>
    <tableColumn id="6" xr3:uid="{2AC043A9-4E46-4951-A8CB-CF8FFBF92C90}" name="resolution" dataDxfId="43"/>
    <tableColumn id="7" xr3:uid="{2141EBAD-35CA-4BCE-A363-316AE69E9CC0}" name="es_id" dataDxfId="42"/>
    <tableColumn id="8" xr3:uid="{527CA34B-AB39-4B49-B571-32817DF24A38}" name="brp_id" dataDxfId="41"/>
    <tableColumn id="9" xr3:uid="{9699D121-EBC9-4DA0-A287-BD0FE3983B47}" name="note" dataDxfId="40"/>
    <tableColumn id="10" xr3:uid="{A911AD17-9B52-4FEE-AF3A-66EB94D8C11E}" name="ga_id" dataDxfId="39"/>
    <tableColumn id="11" xr3:uid="{8CDC9D48-8220-4F0D-ADB7-0DE5513D303A}" name="from_ga" dataDxfId="38"/>
    <tableColumn id="12" xr3:uid="{C2480248-990E-4A21-B8AC-6016066EB658}" name="to_ga" dataDxfId="3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056AF8-5BEB-411F-BBA7-6FA2013FF85C}" name="Tabel134232323" displayName="Tabel134232323" ref="C1:Q19" totalsRowShown="0" headerRowDxfId="18" dataDxfId="17">
  <autoFilter ref="C1:Q19" xr:uid="{3814BBFA-A2E3-4A77-AAB1-6B1FF8D878B1}"/>
  <tableColumns count="15">
    <tableColumn id="1" xr3:uid="{E1ABFE8C-16D1-42C0-9193-167D52FEFF1E}" name="mp id" dataDxfId="16"/>
    <tableColumn id="2" xr3:uid="{BF53BC09-B479-4128-9988-6E42901E5232}" name="type" dataDxfId="15"/>
    <tableColumn id="3" xr3:uid="{087CCCE7-E9AB-4CBE-B7DB-1A8A7160A4AB}" name="settlement_method" dataDxfId="14"/>
    <tableColumn id="4" xr3:uid="{50C910BB-666F-4DA7-A833-1E59D63F4C0C}" name="Quarter1" dataDxfId="13"/>
    <tableColumn id="5" xr3:uid="{35C7A76D-AD78-4716-865E-791EE3F5BAA9}" name="Quarter2" dataDxfId="12"/>
    <tableColumn id="13" xr3:uid="{376869A7-027D-44AB-B32B-DE0656A8CD0D}" name="Quarter3" dataDxfId="11"/>
    <tableColumn id="14" xr3:uid="{F9207CC5-6C3E-44F7-811F-703D2773F991}" name="Quarter4" dataDxfId="10"/>
    <tableColumn id="15" xr3:uid="{8D2333B7-3AA4-439E-8FC1-AC367C6C6AE0}" name="TotalHour" dataDxfId="9">
      <calculatedColumnFormula>IF(C2="","",SUM(F2:I2))</calculatedColumnFormula>
    </tableColumn>
    <tableColumn id="6" xr3:uid="{9D4AB98D-F1E4-4044-9B83-E78840A6E44D}" name="resolution" dataDxfId="8"/>
    <tableColumn id="7" xr3:uid="{959CFF7B-C131-41CA-86A8-3C74334FB69B}" name="es_id" dataDxfId="7"/>
    <tableColumn id="8" xr3:uid="{4B264A8E-9C93-4CCA-849D-23B2D8C031A7}" name="brp_id" dataDxfId="6"/>
    <tableColumn id="9" xr3:uid="{52A595BE-A70A-479B-A8FC-8263E5C21911}" name="note" dataDxfId="5"/>
    <tableColumn id="10" xr3:uid="{88682CD8-D298-4A57-9CDA-0919E7190C0D}" name="ga_id" dataDxfId="4"/>
    <tableColumn id="11" xr3:uid="{32B03FB5-4900-42E0-8A22-BA9655A220A3}" name="from_ga" dataDxfId="3"/>
    <tableColumn id="12" xr3:uid="{79E23631-D9C4-48E2-9D40-9457D9CD966A}" name="to_ga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39C3-874F-4F72-9AEE-878B462E1338}">
  <sheetPr>
    <tabColor rgb="FF92D050"/>
  </sheetPr>
  <dimension ref="A1:CN400"/>
  <sheetViews>
    <sheetView zoomScaleNormal="100" workbookViewId="0">
      <selection activeCell="F11" sqref="F11"/>
    </sheetView>
  </sheetViews>
  <sheetFormatPr defaultColWidth="8.7109375" defaultRowHeight="15" x14ac:dyDescent="0.25"/>
  <cols>
    <col min="1" max="1" width="16.42578125" style="1" bestFit="1" customWidth="1"/>
    <col min="2" max="2" width="36" style="1" bestFit="1" customWidth="1"/>
    <col min="3" max="3" width="27.140625" style="1" bestFit="1" customWidth="1"/>
    <col min="4" max="4" width="9.7109375" style="1" bestFit="1" customWidth="1"/>
    <col min="5" max="5" width="21.42578125" style="1" bestFit="1" customWidth="1"/>
    <col min="6" max="6" width="23.5703125" style="1" bestFit="1" customWidth="1"/>
    <col min="7" max="7" width="28.5703125" style="1" bestFit="1" customWidth="1"/>
    <col min="8" max="9" width="24.42578125" style="1" bestFit="1" customWidth="1"/>
    <col min="10" max="11" width="15.7109375" style="1" bestFit="1" customWidth="1"/>
    <col min="12" max="13" width="14.140625" style="1" bestFit="1" customWidth="1"/>
    <col min="14" max="14" width="8.140625" style="1" bestFit="1" customWidth="1"/>
    <col min="15" max="15" width="8.140625" style="1" customWidth="1"/>
    <col min="16" max="17" width="11.7109375" style="1" customWidth="1"/>
    <col min="18" max="18" width="8.85546875" style="1" bestFit="1" customWidth="1"/>
    <col min="19" max="19" width="32.28515625" style="1" bestFit="1" customWidth="1"/>
    <col min="20" max="20" width="14.140625" style="1" bestFit="1" customWidth="1"/>
    <col min="21" max="21" width="33.42578125" style="1" bestFit="1" customWidth="1"/>
    <col min="22" max="22" width="15.7109375" style="1" bestFit="1" customWidth="1"/>
    <col min="23" max="24" width="13.28515625" style="1" bestFit="1" customWidth="1"/>
    <col min="25" max="25" width="11.7109375" style="1" bestFit="1" customWidth="1"/>
    <col min="26" max="26" width="12.42578125" style="1" bestFit="1" customWidth="1"/>
    <col min="27" max="27" width="4.140625" style="1" bestFit="1" customWidth="1"/>
    <col min="28" max="28" width="2.85546875" style="1" bestFit="1" customWidth="1"/>
    <col min="29" max="29" width="1.85546875" style="1" bestFit="1" customWidth="1"/>
    <col min="30" max="30" width="9.5703125" style="1" bestFit="1" customWidth="1"/>
    <col min="31" max="31" width="27.42578125" style="1" bestFit="1" customWidth="1"/>
    <col min="32" max="32" width="19.85546875" style="1" bestFit="1" customWidth="1"/>
    <col min="33" max="33" width="21.85546875" style="1" bestFit="1" customWidth="1"/>
    <col min="34" max="34" width="11.7109375" style="1" bestFit="1" customWidth="1"/>
    <col min="35" max="40" width="8.7109375" style="1" customWidth="1"/>
    <col min="41" max="16384" width="8.7109375" style="1"/>
  </cols>
  <sheetData>
    <row r="1" spans="1:92" ht="21" x14ac:dyDescent="0.35">
      <c r="A1" s="18" t="s">
        <v>22</v>
      </c>
      <c r="B1" s="38" t="s">
        <v>88</v>
      </c>
      <c r="C1" s="14" t="s">
        <v>7</v>
      </c>
      <c r="D1" s="14" t="s">
        <v>11</v>
      </c>
      <c r="E1" s="14" t="s">
        <v>12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114</v>
      </c>
      <c r="K1" s="14" t="s">
        <v>8</v>
      </c>
      <c r="L1" s="14" t="s">
        <v>9</v>
      </c>
      <c r="M1" s="14" t="s">
        <v>10</v>
      </c>
      <c r="N1" s="14" t="s">
        <v>13</v>
      </c>
      <c r="O1" s="14" t="s">
        <v>18</v>
      </c>
      <c r="P1" s="14" t="s">
        <v>81</v>
      </c>
      <c r="Q1" s="14" t="s">
        <v>82</v>
      </c>
      <c r="U1" s="15" t="s">
        <v>74</v>
      </c>
      <c r="V1" s="15" t="s">
        <v>75</v>
      </c>
      <c r="W1" s="15" t="s">
        <v>76</v>
      </c>
      <c r="X1" s="15" t="s">
        <v>77</v>
      </c>
      <c r="AA1" s="24"/>
      <c r="AC1" s="24"/>
      <c r="AD1" s="30" t="s">
        <v>19</v>
      </c>
      <c r="AE1" s="30" t="s">
        <v>16</v>
      </c>
      <c r="AF1" s="30" t="s">
        <v>17</v>
      </c>
      <c r="AG1" s="30" t="s">
        <v>113</v>
      </c>
      <c r="AH1" s="30" t="s">
        <v>83</v>
      </c>
      <c r="AI1" s="30"/>
      <c r="AJ1" s="24"/>
    </row>
    <row r="2" spans="1:92" ht="21" x14ac:dyDescent="0.35">
      <c r="A2" s="18" t="s">
        <v>25</v>
      </c>
      <c r="B2" s="17" t="s">
        <v>118</v>
      </c>
      <c r="C2" s="10" t="s">
        <v>89</v>
      </c>
      <c r="D2" s="10" t="s">
        <v>90</v>
      </c>
      <c r="E2" s="11" t="s">
        <v>91</v>
      </c>
      <c r="F2" s="12"/>
      <c r="G2" s="12"/>
      <c r="H2" s="41"/>
      <c r="I2" s="41"/>
      <c r="J2" s="43">
        <f t="shared" ref="J2:J19" si="0">IF(C2="","",SUM(F2:I2))</f>
        <v>0</v>
      </c>
      <c r="K2" s="10" t="s">
        <v>107</v>
      </c>
      <c r="L2" s="10" t="s">
        <v>93</v>
      </c>
      <c r="M2" s="10" t="s">
        <v>94</v>
      </c>
      <c r="N2" s="10" t="s">
        <v>97</v>
      </c>
      <c r="O2" s="10" t="s">
        <v>95</v>
      </c>
      <c r="P2" s="29"/>
      <c r="Q2" s="29"/>
      <c r="R2" s="24"/>
      <c r="S2" s="7" t="s">
        <v>35</v>
      </c>
      <c r="T2" s="9">
        <f>SUMIFS(Tabel13423232[TotalHour],Tabel13423232[settlement_method],"D01",Tabel13423232[resolution],"PT15M")</f>
        <v>1</v>
      </c>
      <c r="U2" s="42">
        <f>SUMIFS(Tabel13423232[Quarter1],Tabel13423232[settlement_method],"D01",Tabel13423232[resolution],"PT15M")</f>
        <v>0.1</v>
      </c>
      <c r="V2" s="42">
        <f>SUMIFS(Tabel13423232[Quarter2],Tabel13423232[settlement_method],"D01",Tabel13423232[resolution],"PT15M")</f>
        <v>0.2</v>
      </c>
      <c r="W2" s="42">
        <f>SUMIFS(Tabel13423232[Quarter3],Tabel13423232[settlement_method],"D01",Tabel13423232[resolution],"PT15M")</f>
        <v>0.3</v>
      </c>
      <c r="X2" s="42">
        <f>SUMIFS(Tabel13423232[Quarter4],Tabel13423232[settlement_method],"D01",Tabel13423232[resolution],"PT15M")</f>
        <v>0.4</v>
      </c>
      <c r="Y2" s="24"/>
      <c r="Z2" s="24"/>
      <c r="AA2" s="24"/>
      <c r="AC2" s="24"/>
      <c r="AD2" s="27" t="str" cm="1">
        <f t="array" ref="AD2">_xlfn._xlws.SORT(_xlfn.UNIQUE(_xlfn._xlws.FILTER(Tabel13423232[ga_id],Tabel13423232[ga_id] &lt;&gt; "")))</f>
        <v>800</v>
      </c>
      <c r="AE2" s="27" t="str" cm="1">
        <f t="array" ref="AE2:AE3">_xlfn._xlws.SORT(_xlfn.UNIQUE(_xlfn._xlws.FILTER(AE28:AE41,AE28:AE41 &lt;&gt; "")))</f>
        <v>2000000000000</v>
      </c>
      <c r="AF2" s="27" t="str" cm="1">
        <f t="array" ref="AF2:AF3">_xlfn._xlws.SORT(_xlfn.UNIQUE(_xlfn._xlws.FILTER(AF28:AF40,AF28:AF40 &lt;&gt; "")))</f>
        <v>2200000000000</v>
      </c>
      <c r="AG2" s="27" t="str">
        <f>IF(B$2="production","E18",IF($B$2="flex_consumption","D01","E02"))</f>
        <v>E18</v>
      </c>
      <c r="AH2" s="27" t="str" cm="1">
        <f t="array" ref="AH2:AH4">_xlfn._xlws.SORT(_xlfn.UNIQUE(_xlfn.VSTACK(_xlfn._xlws.FILTER(Tabel13423232[from_ga],Tabel13423232[from_ga] &lt;&gt; ""),_xlfn._xlws.FILTER(Tabel13423232[to_ga],Tabel13423232[to_ga] &lt;&gt; ""))))</f>
        <v>800</v>
      </c>
      <c r="AI2" s="24"/>
      <c r="AJ2" s="24"/>
    </row>
    <row r="3" spans="1:92" x14ac:dyDescent="0.25">
      <c r="C3" s="10" t="s">
        <v>98</v>
      </c>
      <c r="D3" s="10" t="s">
        <v>103</v>
      </c>
      <c r="E3" s="11"/>
      <c r="F3" s="12"/>
      <c r="G3" s="12"/>
      <c r="H3" s="41"/>
      <c r="I3" s="41"/>
      <c r="J3" s="43">
        <f t="shared" si="0"/>
        <v>0</v>
      </c>
      <c r="K3" s="10" t="s">
        <v>107</v>
      </c>
      <c r="L3" s="10" t="s">
        <v>108</v>
      </c>
      <c r="M3" s="10" t="s">
        <v>109</v>
      </c>
      <c r="N3" s="10" t="s">
        <v>106</v>
      </c>
      <c r="O3" s="10" t="s">
        <v>95</v>
      </c>
      <c r="P3" s="29"/>
      <c r="Q3" s="29"/>
      <c r="R3" s="24"/>
      <c r="S3" s="7" t="s">
        <v>39</v>
      </c>
      <c r="T3" s="9">
        <f>SUMIFS(Tabel13423232[TotalHour],Tabel13423232[settlement_method],"E02",Tabel13423232[resolution],"PT15M")</f>
        <v>26</v>
      </c>
      <c r="U3" s="42">
        <f>SUMIFS(Tabel13423232[Quarter1],Tabel13423232[settlement_method],"E02",Tabel13423232[resolution],"PT15M")</f>
        <v>1</v>
      </c>
      <c r="V3" s="42">
        <f>SUMIFS(Tabel13423232[Quarter2],Tabel13423232[settlement_method],"E02",Tabel13423232[resolution],"PT15M")</f>
        <v>2</v>
      </c>
      <c r="W3" s="42">
        <f>SUMIFS(Tabel13423232[Quarter3],Tabel13423232[settlement_method],"E02",Tabel13423232[resolution],"PT15M")</f>
        <v>3</v>
      </c>
      <c r="X3" s="42">
        <f>SUMIFS(Tabel13423232[Quarter4],Tabel13423232[settlement_method],"E02",Tabel13423232[resolution],"PT15M")</f>
        <v>20</v>
      </c>
      <c r="Y3" s="24"/>
      <c r="Z3" s="24"/>
      <c r="AA3" s="24"/>
      <c r="AC3" s="24"/>
      <c r="AD3" s="24"/>
      <c r="AE3" s="24" t="str">
        <v>4000000000000</v>
      </c>
      <c r="AF3" s="24" t="str">
        <v>4400000000000</v>
      </c>
      <c r="AG3" s="24"/>
      <c r="AH3" s="24" t="str">
        <v>801</v>
      </c>
      <c r="AI3" s="24"/>
      <c r="AJ3" s="24"/>
    </row>
    <row r="4" spans="1:92" x14ac:dyDescent="0.25">
      <c r="C4" s="10" t="s">
        <v>100</v>
      </c>
      <c r="D4" s="10" t="s">
        <v>90</v>
      </c>
      <c r="E4" s="11" t="s">
        <v>110</v>
      </c>
      <c r="F4" s="12">
        <v>1</v>
      </c>
      <c r="G4" s="12">
        <v>2</v>
      </c>
      <c r="H4" s="41">
        <v>3</v>
      </c>
      <c r="I4" s="41">
        <v>20</v>
      </c>
      <c r="J4" s="43">
        <f t="shared" si="0"/>
        <v>26</v>
      </c>
      <c r="K4" s="10" t="s">
        <v>107</v>
      </c>
      <c r="L4" s="10" t="s">
        <v>93</v>
      </c>
      <c r="M4" s="10" t="s">
        <v>94</v>
      </c>
      <c r="N4" s="10"/>
      <c r="O4" s="10" t="s">
        <v>95</v>
      </c>
      <c r="P4" s="29"/>
      <c r="Q4" s="29"/>
      <c r="R4" s="24"/>
      <c r="S4" s="7" t="s">
        <v>28</v>
      </c>
      <c r="T4" s="9">
        <f>SUMIFS(Tabel13423232[TotalHour],Tabel13423232[type],"E18",Tabel13423232[resolution],"PT15M")</f>
        <v>4</v>
      </c>
      <c r="U4" s="42">
        <f>SUMIFS(Tabel13423232[Quarter1],Tabel13423232[type],"E18",Tabel13423232[resolution],"PT15M")</f>
        <v>1</v>
      </c>
      <c r="V4" s="42">
        <f>SUMIFS(Tabel13423232[Quarter2],Tabel13423232[type],"E18",Tabel13423232[resolution],"PT15M")</f>
        <v>1</v>
      </c>
      <c r="W4" s="42">
        <f>SUMIFS(Tabel13423232[Quarter3],Tabel13423232[type],"E18",Tabel13423232[resolution],"PT15M")</f>
        <v>1</v>
      </c>
      <c r="X4" s="42">
        <f>SUMIFS(Tabel13423232[Quarter4],Tabel13423232[type],"E18",Tabel13423232[resolution],"PT15M")</f>
        <v>1</v>
      </c>
      <c r="Y4" s="24"/>
      <c r="Z4" s="24"/>
      <c r="AA4" s="24"/>
      <c r="AC4" s="24"/>
      <c r="AD4" s="24"/>
      <c r="AE4" s="24"/>
      <c r="AF4" s="24"/>
      <c r="AG4" s="24"/>
      <c r="AH4" s="24" t="str">
        <v>802</v>
      </c>
      <c r="AI4" s="24"/>
      <c r="AJ4" s="24"/>
    </row>
    <row r="5" spans="1:92" x14ac:dyDescent="0.25">
      <c r="C5" s="10" t="s">
        <v>115</v>
      </c>
      <c r="D5" s="10" t="s">
        <v>90</v>
      </c>
      <c r="E5" s="11" t="s">
        <v>110</v>
      </c>
      <c r="F5" s="12">
        <v>5.0010000000000003</v>
      </c>
      <c r="G5" s="12"/>
      <c r="H5" s="41"/>
      <c r="I5" s="41"/>
      <c r="J5" s="43">
        <f t="shared" si="0"/>
        <v>5.0010000000000003</v>
      </c>
      <c r="K5" s="10" t="s">
        <v>92</v>
      </c>
      <c r="L5" s="10" t="s">
        <v>105</v>
      </c>
      <c r="M5" s="10" t="s">
        <v>117</v>
      </c>
      <c r="N5" s="10"/>
      <c r="O5" s="10" t="s">
        <v>95</v>
      </c>
      <c r="P5" s="29"/>
      <c r="Q5" s="29"/>
      <c r="R5" s="24"/>
      <c r="S5" s="7" t="s">
        <v>26</v>
      </c>
      <c r="T5" s="9">
        <f>SUMIFS(Tabel13423232[TotalHour],Tabel13423232[type],"E17",Tabel13423232[resolution],"PT15M")</f>
        <v>27</v>
      </c>
      <c r="U5" s="42">
        <f>SUMIFS(Tabel13423232[Quarter1],Tabel13423232[type],"E17",Tabel13423232[resolution],"PT15M")</f>
        <v>1.1000000000000001</v>
      </c>
      <c r="V5" s="42">
        <f>SUMIFS(Tabel13423232[Quarter2],Tabel13423232[type],"E17",Tabel13423232[resolution],"PT15M")</f>
        <v>2.2000000000000002</v>
      </c>
      <c r="W5" s="42">
        <f>SUMIFS(Tabel13423232[Quarter3],Tabel13423232[type],"E17",Tabel13423232[resolution],"PT15M")</f>
        <v>3.3</v>
      </c>
      <c r="X5" s="42">
        <f>SUMIFS(Tabel13423232[Quarter4],Tabel13423232[type],"E17",Tabel13423232[resolution],"PT15M")</f>
        <v>20.399999999999999</v>
      </c>
      <c r="Y5" s="24"/>
      <c r="Z5" s="24"/>
      <c r="AA5" s="24"/>
      <c r="AC5" s="24"/>
      <c r="AD5" s="24"/>
      <c r="AE5" s="24"/>
      <c r="AF5" s="24"/>
      <c r="AG5" s="24"/>
      <c r="AH5" s="24"/>
      <c r="AI5" s="24"/>
      <c r="AJ5" s="24"/>
    </row>
    <row r="6" spans="1:92" x14ac:dyDescent="0.25">
      <c r="C6" s="10" t="s">
        <v>99</v>
      </c>
      <c r="D6" s="10" t="s">
        <v>90</v>
      </c>
      <c r="E6" s="11" t="s">
        <v>91</v>
      </c>
      <c r="F6" s="12">
        <v>0.1</v>
      </c>
      <c r="G6" s="12">
        <v>0.2</v>
      </c>
      <c r="H6" s="12">
        <v>0.3</v>
      </c>
      <c r="I6" s="12">
        <v>0.4</v>
      </c>
      <c r="J6" s="43">
        <f t="shared" si="0"/>
        <v>1</v>
      </c>
      <c r="K6" s="10" t="s">
        <v>107</v>
      </c>
      <c r="L6" s="10" t="s">
        <v>93</v>
      </c>
      <c r="M6" s="10" t="s">
        <v>94</v>
      </c>
      <c r="N6" s="10"/>
      <c r="O6" s="10" t="s">
        <v>95</v>
      </c>
      <c r="P6" s="29"/>
      <c r="Q6" s="29"/>
      <c r="R6" s="24"/>
      <c r="S6" s="6" t="s">
        <v>31</v>
      </c>
      <c r="T6" s="9">
        <f>SUMIFS(Tabel13423232[TotalHour],Tabel13423232[type],"E20",Tabel13423232[resolution],"PT15M",Tabel13423232[to_ga],"800")</f>
        <v>0</v>
      </c>
      <c r="U6" s="42">
        <f>SUMIFS(Tabel13423232[Quarter1],Tabel13423232[type],"E20",Tabel13423232[resolution],"PT15M",Tabel13423232[to_ga],"800")</f>
        <v>0</v>
      </c>
      <c r="V6" s="42">
        <f>SUMIFS(Tabel13423232[Quarter2],Tabel13423232[type],"E20",Tabel13423232[resolution],"PT15M",Tabel13423232[to_ga],"800")</f>
        <v>0</v>
      </c>
      <c r="W6" s="42">
        <f>SUMIFS(Tabel13423232[Quarter3],Tabel13423232[type],"E20",Tabel13423232[resolution],"PT15M",Tabel13423232[to_ga],"800")</f>
        <v>0</v>
      </c>
      <c r="X6" s="42">
        <f>SUMIFS(Tabel13423232[Quarter4],Tabel13423232[type],"E20",Tabel13423232[resolution],"PT15M",Tabel13423232[to_ga],"800")</f>
        <v>0</v>
      </c>
      <c r="Y6" s="24"/>
      <c r="Z6" s="24"/>
      <c r="AA6" s="24"/>
      <c r="AC6" s="24"/>
      <c r="AD6" s="24"/>
      <c r="AE6" s="24"/>
      <c r="AF6" s="24"/>
      <c r="AG6" s="24"/>
      <c r="AH6" s="24"/>
      <c r="AI6" s="24"/>
      <c r="AJ6" s="24"/>
    </row>
    <row r="7" spans="1:92" x14ac:dyDescent="0.25">
      <c r="C7" s="10" t="s">
        <v>116</v>
      </c>
      <c r="D7" s="10" t="s">
        <v>90</v>
      </c>
      <c r="E7" s="11" t="s">
        <v>91</v>
      </c>
      <c r="F7" s="12">
        <v>4.0110000000000001</v>
      </c>
      <c r="G7" s="12"/>
      <c r="H7" s="41"/>
      <c r="I7" s="41"/>
      <c r="J7" s="43">
        <f t="shared" si="0"/>
        <v>4.0110000000000001</v>
      </c>
      <c r="K7" s="10" t="s">
        <v>92</v>
      </c>
      <c r="L7" s="10" t="s">
        <v>105</v>
      </c>
      <c r="M7" s="10" t="s">
        <v>117</v>
      </c>
      <c r="N7" s="10"/>
      <c r="O7" s="10" t="s">
        <v>95</v>
      </c>
      <c r="P7" s="29"/>
      <c r="Q7" s="29"/>
      <c r="R7" s="24"/>
      <c r="S7" s="6" t="s">
        <v>42</v>
      </c>
      <c r="T7" s="9">
        <f>SUMIFS(Tabel13423232[TotalHour],Tabel13423232[type],"E20",Tabel13423232[resolution],"PT15M",Tabel13423232[from_ga],"800")</f>
        <v>0</v>
      </c>
      <c r="U7" s="42">
        <f>SUMIFS(Tabel13423232[Quarter1],Tabel13423232[type],"E20",Tabel13423232[resolution],"PT15M",Tabel13423232[from_ga],"800")</f>
        <v>0</v>
      </c>
      <c r="V7" s="42">
        <f>SUMIFS(Tabel13423232[Quarter2],Tabel13423232[type],"E20",Tabel13423232[resolution],"PT15M",Tabel13423232[from_ga],"800")</f>
        <v>0</v>
      </c>
      <c r="W7" s="42">
        <f>SUMIFS(Tabel13423232[Quarter3],Tabel13423232[type],"E20",Tabel13423232[resolution],"PT15M",Tabel13423232[from_ga],"800")</f>
        <v>0</v>
      </c>
      <c r="X7" s="42">
        <f>SUMIFS(Tabel13423232[Quarter4],Tabel13423232[type],"E20",Tabel13423232[resolution],"PT15M",Tabel13423232[from_ga],"800")</f>
        <v>0</v>
      </c>
      <c r="Y7" s="24"/>
      <c r="Z7" s="24"/>
      <c r="AA7" s="24"/>
      <c r="AC7" s="24"/>
      <c r="AD7" s="24"/>
      <c r="AE7" s="24"/>
      <c r="AF7" s="24"/>
      <c r="AG7" s="24"/>
      <c r="AH7" s="24"/>
      <c r="AI7" s="24"/>
      <c r="AJ7" s="24"/>
    </row>
    <row r="8" spans="1:92" x14ac:dyDescent="0.25">
      <c r="C8" s="10" t="s">
        <v>101</v>
      </c>
      <c r="D8" s="10" t="s">
        <v>103</v>
      </c>
      <c r="E8" s="11"/>
      <c r="F8" s="12">
        <v>1</v>
      </c>
      <c r="G8" s="12">
        <v>1</v>
      </c>
      <c r="H8" s="41">
        <v>1</v>
      </c>
      <c r="I8" s="41">
        <v>1</v>
      </c>
      <c r="J8" s="43">
        <f t="shared" si="0"/>
        <v>4</v>
      </c>
      <c r="K8" s="10" t="s">
        <v>107</v>
      </c>
      <c r="L8" s="10" t="s">
        <v>108</v>
      </c>
      <c r="M8" s="10" t="s">
        <v>109</v>
      </c>
      <c r="N8" s="10"/>
      <c r="O8" s="10" t="s">
        <v>95</v>
      </c>
      <c r="P8" s="29"/>
      <c r="Q8" s="29"/>
      <c r="R8" s="24"/>
      <c r="S8" s="24"/>
      <c r="T8" s="24"/>
      <c r="U8" s="24"/>
      <c r="V8" s="24"/>
      <c r="W8" s="24"/>
      <c r="X8" s="24"/>
      <c r="Y8" s="24"/>
      <c r="Z8" s="24"/>
      <c r="AA8" s="24"/>
      <c r="AC8" s="24"/>
      <c r="AD8" s="24"/>
      <c r="AE8" s="24"/>
      <c r="AF8" s="24"/>
      <c r="AG8" s="24"/>
      <c r="AH8" s="24"/>
      <c r="AI8" s="24"/>
      <c r="AJ8" s="24"/>
    </row>
    <row r="9" spans="1:92" x14ac:dyDescent="0.25">
      <c r="C9" s="10" t="s">
        <v>119</v>
      </c>
      <c r="D9" s="10" t="s">
        <v>103</v>
      </c>
      <c r="E9" s="11"/>
      <c r="F9" s="12">
        <v>12.989000000000001</v>
      </c>
      <c r="G9" s="12"/>
      <c r="H9" s="41"/>
      <c r="I9" s="41"/>
      <c r="J9" s="43">
        <f t="shared" si="0"/>
        <v>12.989000000000001</v>
      </c>
      <c r="K9" s="10" t="s">
        <v>92</v>
      </c>
      <c r="L9" s="10" t="s">
        <v>121</v>
      </c>
      <c r="M9" s="10" t="s">
        <v>122</v>
      </c>
      <c r="N9" s="10"/>
      <c r="O9" s="10" t="s">
        <v>95</v>
      </c>
      <c r="P9" s="29"/>
      <c r="Q9" s="29"/>
      <c r="R9" s="24"/>
      <c r="S9" s="25"/>
      <c r="T9" s="7" t="s">
        <v>10</v>
      </c>
      <c r="U9" s="7" t="s">
        <v>9</v>
      </c>
      <c r="V9" s="7" t="s">
        <v>85</v>
      </c>
      <c r="W9" s="7" t="s">
        <v>45</v>
      </c>
      <c r="X9" s="7" t="s">
        <v>46</v>
      </c>
      <c r="Y9" s="7" t="s">
        <v>47</v>
      </c>
      <c r="Z9" s="27"/>
      <c r="AA9" s="24"/>
      <c r="AC9" s="24"/>
      <c r="AD9" s="35"/>
      <c r="AE9" s="35"/>
      <c r="AF9" s="35"/>
      <c r="AG9" s="35"/>
      <c r="AH9" s="35"/>
      <c r="AI9" s="24"/>
      <c r="AJ9" s="24"/>
    </row>
    <row r="10" spans="1:92" x14ac:dyDescent="0.25">
      <c r="C10" s="10" t="s">
        <v>102</v>
      </c>
      <c r="D10" s="10" t="s">
        <v>104</v>
      </c>
      <c r="E10" s="11"/>
      <c r="F10" s="12">
        <v>30.501000000000001</v>
      </c>
      <c r="G10" s="12"/>
      <c r="H10" s="41"/>
      <c r="I10" s="41"/>
      <c r="J10" s="43">
        <f t="shared" si="0"/>
        <v>30.501000000000001</v>
      </c>
      <c r="K10" s="10" t="s">
        <v>92</v>
      </c>
      <c r="L10" s="10"/>
      <c r="M10" s="10"/>
      <c r="N10" s="10"/>
      <c r="O10" s="10" t="s">
        <v>95</v>
      </c>
      <c r="P10" s="29" t="s">
        <v>96</v>
      </c>
      <c r="Q10" s="29" t="s">
        <v>95</v>
      </c>
      <c r="R10" s="15" t="s">
        <v>74</v>
      </c>
      <c r="S10" s="26" t="str">
        <f>_xlfn.IFNA(INDEX(Tabel13423232[ga_id],MATCH(U10,Tabel13423232[es_id],0)),"")</f>
        <v>800</v>
      </c>
      <c r="T10" s="26" t="str">
        <f>_xlfn.IFNA(INDEX(Tabel13423232[brp_id],MATCH(U10,Tabel13423232[es_id],0)),"")</f>
        <v>2200000000000</v>
      </c>
      <c r="U10" s="26" t="str">
        <f>IF(AE$2=0,"",AE$2)</f>
        <v>2000000000000</v>
      </c>
      <c r="V10" s="20">
        <f>SUMIFS(Tabel13423232[TotalHour],Tabel13423232[es_id],U10,IF(B$2="production",Tabel13423232[type],Tabel13423232[settlement_method]),AG$2,Tabel13423232[resolution],"PT1H")/4</f>
        <v>0</v>
      </c>
      <c r="W10" s="19">
        <f>V10</f>
        <v>0</v>
      </c>
      <c r="X10" s="19"/>
      <c r="Y10" s="23">
        <f t="shared" ref="Y10:Y33" si="1">ROUND(W10, 3)</f>
        <v>0</v>
      </c>
      <c r="Z10" s="27"/>
      <c r="AA10" s="24"/>
      <c r="AC10" s="27"/>
      <c r="AD10" s="36"/>
      <c r="AE10" s="36"/>
      <c r="AF10" s="36"/>
      <c r="AG10" s="36"/>
      <c r="AH10" s="35"/>
      <c r="AI10" s="24"/>
      <c r="AJ10" s="24"/>
    </row>
    <row r="11" spans="1:92" x14ac:dyDescent="0.25">
      <c r="C11" s="10" t="s">
        <v>120</v>
      </c>
      <c r="D11" s="10" t="s">
        <v>104</v>
      </c>
      <c r="E11" s="11"/>
      <c r="F11" s="12">
        <v>2.1110000000000002</v>
      </c>
      <c r="G11" s="12"/>
      <c r="H11" s="41"/>
      <c r="I11" s="41"/>
      <c r="J11" s="43">
        <f t="shared" si="0"/>
        <v>2.1110000000000002</v>
      </c>
      <c r="K11" s="10" t="s">
        <v>92</v>
      </c>
      <c r="L11" s="10"/>
      <c r="M11" s="10"/>
      <c r="N11" s="10"/>
      <c r="O11" s="10" t="s">
        <v>95</v>
      </c>
      <c r="P11" s="29" t="s">
        <v>123</v>
      </c>
      <c r="Q11" s="29" t="s">
        <v>95</v>
      </c>
      <c r="R11" s="15" t="s">
        <v>75</v>
      </c>
      <c r="S11" s="26" t="str">
        <f>_xlfn.IFNA(INDEX(Tabel13423232[ga_id],MATCH(U11,Tabel13423232[es_id],0)),"")</f>
        <v>800</v>
      </c>
      <c r="T11" s="26" t="str">
        <f>_xlfn.IFNA(INDEX(Tabel13423232[brp_id],MATCH(U11,Tabel13423232[es_id],0)),"")</f>
        <v>2200000000000</v>
      </c>
      <c r="U11" s="26" t="str">
        <f t="shared" ref="U11:V13" si="2">U$10</f>
        <v>2000000000000</v>
      </c>
      <c r="V11" s="19">
        <f t="shared" si="2"/>
        <v>0</v>
      </c>
      <c r="W11" s="19">
        <f>X11+W10</f>
        <v>0</v>
      </c>
      <c r="X11" s="19">
        <f>V11-Y10</f>
        <v>0</v>
      </c>
      <c r="Y11" s="23">
        <f t="shared" si="1"/>
        <v>0</v>
      </c>
      <c r="Z11" s="27"/>
      <c r="AA11" s="24"/>
      <c r="AC11" s="27"/>
      <c r="AD11" s="36"/>
      <c r="AE11" s="36"/>
      <c r="AF11" s="36"/>
      <c r="AG11" s="36"/>
      <c r="AH11" s="35"/>
      <c r="AI11" s="24"/>
      <c r="AJ11" s="24"/>
    </row>
    <row r="12" spans="1:92" x14ac:dyDescent="0.25">
      <c r="C12" s="10"/>
      <c r="D12" s="10"/>
      <c r="E12" s="11"/>
      <c r="F12" s="12"/>
      <c r="G12" s="12"/>
      <c r="H12" s="41"/>
      <c r="I12" s="41"/>
      <c r="J12" s="43" t="str">
        <f t="shared" si="0"/>
        <v/>
      </c>
      <c r="K12" s="10"/>
      <c r="L12" s="10"/>
      <c r="M12" s="10"/>
      <c r="N12" s="10"/>
      <c r="O12" s="10"/>
      <c r="P12" s="29"/>
      <c r="Q12" s="29"/>
      <c r="R12" s="15" t="s">
        <v>76</v>
      </c>
      <c r="S12" s="26" t="str">
        <f>_xlfn.IFNA(INDEX(Tabel13423232[ga_id],MATCH(U12,Tabel13423232[es_id],0)),"")</f>
        <v>800</v>
      </c>
      <c r="T12" s="26" t="str">
        <f>_xlfn.IFNA(INDEX(Tabel13423232[brp_id],MATCH(U12,Tabel13423232[es_id],0)),"")</f>
        <v>2200000000000</v>
      </c>
      <c r="U12" s="26" t="str">
        <f t="shared" si="2"/>
        <v>2000000000000</v>
      </c>
      <c r="V12" s="19">
        <f t="shared" si="2"/>
        <v>0</v>
      </c>
      <c r="W12" s="19">
        <f>X12+W11</f>
        <v>0</v>
      </c>
      <c r="X12" s="19">
        <f>V12-Y11</f>
        <v>0</v>
      </c>
      <c r="Y12" s="23">
        <f t="shared" si="1"/>
        <v>0</v>
      </c>
      <c r="Z12" s="27"/>
      <c r="AA12" s="24"/>
      <c r="AC12" s="27"/>
      <c r="AD12" s="36"/>
      <c r="AE12" s="36" t="s">
        <v>111</v>
      </c>
      <c r="AF12" s="36" t="s">
        <v>112</v>
      </c>
      <c r="AG12" s="36"/>
      <c r="AH12" s="35"/>
      <c r="AI12" s="24"/>
      <c r="AJ12" s="24"/>
    </row>
    <row r="13" spans="1:92" x14ac:dyDescent="0.25">
      <c r="C13" s="10"/>
      <c r="D13" s="10"/>
      <c r="E13" s="11"/>
      <c r="F13" s="12"/>
      <c r="G13" s="12"/>
      <c r="H13" s="41"/>
      <c r="I13" s="41"/>
      <c r="J13" s="43" t="str">
        <f t="shared" si="0"/>
        <v/>
      </c>
      <c r="K13" s="10"/>
      <c r="L13" s="10"/>
      <c r="M13" s="10"/>
      <c r="N13" s="10"/>
      <c r="O13" s="10"/>
      <c r="P13" s="29"/>
      <c r="Q13" s="29"/>
      <c r="R13" s="15" t="s">
        <v>77</v>
      </c>
      <c r="S13" s="26" t="str">
        <f>_xlfn.IFNA(INDEX(Tabel13423232[ga_id],MATCH(U13,Tabel13423232[es_id],0)),"")</f>
        <v>800</v>
      </c>
      <c r="T13" s="26" t="str">
        <f>_xlfn.IFNA(INDEX(Tabel13423232[brp_id],MATCH(U13,Tabel13423232[es_id],0)),"")</f>
        <v>2200000000000</v>
      </c>
      <c r="U13" s="26" t="str">
        <f t="shared" si="2"/>
        <v>2000000000000</v>
      </c>
      <c r="V13" s="19">
        <f t="shared" si="2"/>
        <v>0</v>
      </c>
      <c r="W13" s="19">
        <f>X13+W12</f>
        <v>0</v>
      </c>
      <c r="X13" s="19">
        <f>V13-Y12</f>
        <v>0</v>
      </c>
      <c r="Y13" s="23">
        <f t="shared" si="1"/>
        <v>0</v>
      </c>
      <c r="Z13" s="27"/>
      <c r="AA13" s="24"/>
      <c r="AC13" s="2"/>
      <c r="AD13" s="36"/>
      <c r="AE13" s="36" t="str" cm="1">
        <f t="array" ref="AE13:AE16">_xlfn._xlws.SORT(_xlfn.UNIQUE(_xlfn._xlws.FILTER(Tabel13423232[es_id],Tabel13423232[es_id] &lt;&gt; "")))</f>
        <v>1000000000000</v>
      </c>
      <c r="AF13" s="36" t="str" cm="1">
        <f t="array" ref="AF13:AF16">_xlfn._xlws.SORT(_xlfn.UNIQUE(_xlfn._xlws.FILTER(Tabel13423232[brp_id],Tabel13423232[brp_id] &lt;&gt; "")))</f>
        <v>1100000000000</v>
      </c>
      <c r="AG13" s="36"/>
      <c r="AH13" s="35"/>
    </row>
    <row r="14" spans="1:92" x14ac:dyDescent="0.25">
      <c r="C14" s="10"/>
      <c r="D14" s="10"/>
      <c r="E14" s="11"/>
      <c r="F14" s="12"/>
      <c r="G14" s="12"/>
      <c r="H14" s="41"/>
      <c r="I14" s="41"/>
      <c r="J14" s="43" t="str">
        <f t="shared" si="0"/>
        <v/>
      </c>
      <c r="K14" s="10"/>
      <c r="L14" s="10"/>
      <c r="M14" s="10"/>
      <c r="N14" s="10"/>
      <c r="O14" s="10"/>
      <c r="P14" s="29"/>
      <c r="Q14" s="29"/>
      <c r="R14" s="15" t="s">
        <v>74</v>
      </c>
      <c r="S14" s="26" t="str">
        <f>_xlfn.IFNA(INDEX(Tabel13423232[ga_id],MATCH(U14,Tabel13423232[es_id],0)),"")</f>
        <v>800</v>
      </c>
      <c r="T14" s="26" t="str">
        <f>_xlfn.IFNA(INDEX(Tabel13423232[brp_id],MATCH(U14,Tabel13423232[es_id],0)),"")</f>
        <v>4400000000000</v>
      </c>
      <c r="U14" s="26" t="str">
        <f>IF(AE$3=0,"",AE$3)</f>
        <v>4000000000000</v>
      </c>
      <c r="V14" s="20">
        <f>SUMIFS(Tabel13423232[TotalHour],Tabel13423232[es_id],U14,IF(B$2="production",Tabel13423232[type],Tabel13423232[settlement_method]),AG$2,Tabel13423232[resolution],"PT1H")/4</f>
        <v>3.2472500000000002</v>
      </c>
      <c r="W14" s="19">
        <f>V14</f>
        <v>3.2472500000000002</v>
      </c>
      <c r="X14" s="19"/>
      <c r="Y14" s="23">
        <f t="shared" si="1"/>
        <v>3.2469999999999999</v>
      </c>
      <c r="Z14" s="27"/>
      <c r="AA14" s="27"/>
      <c r="AB14" s="2"/>
      <c r="AC14" s="2"/>
      <c r="AD14" s="36"/>
      <c r="AE14" s="36" t="str">
        <v>2000000000000</v>
      </c>
      <c r="AF14" s="36" t="str">
        <v>2200000000000</v>
      </c>
      <c r="AG14" s="36"/>
      <c r="AH14" s="36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spans="1:92" x14ac:dyDescent="0.25">
      <c r="C15" s="13"/>
      <c r="D15" s="10"/>
      <c r="E15" s="11"/>
      <c r="F15" s="12"/>
      <c r="G15" s="12"/>
      <c r="H15" s="41"/>
      <c r="I15" s="41"/>
      <c r="J15" s="43" t="str">
        <f t="shared" si="0"/>
        <v/>
      </c>
      <c r="K15" s="10"/>
      <c r="L15" s="10"/>
      <c r="M15" s="10"/>
      <c r="N15" s="10"/>
      <c r="O15" s="10"/>
      <c r="P15" s="29"/>
      <c r="Q15" s="29"/>
      <c r="R15" s="15" t="s">
        <v>75</v>
      </c>
      <c r="S15" s="26" t="str">
        <f>_xlfn.IFNA(INDEX(Tabel13423232[ga_id],MATCH(U15,Tabel13423232[es_id],0)),"")</f>
        <v>800</v>
      </c>
      <c r="T15" s="26" t="str">
        <f>_xlfn.IFNA(INDEX(Tabel13423232[brp_id],MATCH(U15,Tabel13423232[es_id],0)),"")</f>
        <v>4400000000000</v>
      </c>
      <c r="U15" s="26" t="str">
        <f t="shared" ref="U15:V17" si="3">U$14</f>
        <v>4000000000000</v>
      </c>
      <c r="V15" s="19">
        <f t="shared" si="3"/>
        <v>3.2472500000000002</v>
      </c>
      <c r="W15" s="19">
        <f>X15+W14</f>
        <v>3.2475000000000005</v>
      </c>
      <c r="X15" s="19">
        <f>V15-Y14</f>
        <v>2.5000000000030553E-4</v>
      </c>
      <c r="Y15" s="23">
        <f t="shared" si="1"/>
        <v>3.2480000000000002</v>
      </c>
      <c r="Z15" s="27"/>
      <c r="AA15" s="27"/>
      <c r="AB15" s="2"/>
      <c r="AC15" s="2"/>
      <c r="AD15" s="36"/>
      <c r="AE15" s="36" t="str">
        <v>3000000000000</v>
      </c>
      <c r="AF15" s="36" t="str">
        <v>3300000000000</v>
      </c>
      <c r="AG15" s="36"/>
      <c r="AH15" s="36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spans="1:92" x14ac:dyDescent="0.25">
      <c r="C16" s="13"/>
      <c r="D16" s="10"/>
      <c r="E16" s="11"/>
      <c r="F16" s="12"/>
      <c r="G16" s="12"/>
      <c r="H16" s="41"/>
      <c r="I16" s="41"/>
      <c r="J16" s="43" t="str">
        <f t="shared" si="0"/>
        <v/>
      </c>
      <c r="K16" s="10"/>
      <c r="L16" s="10"/>
      <c r="M16" s="10"/>
      <c r="N16" s="10"/>
      <c r="O16" s="10"/>
      <c r="P16" s="29"/>
      <c r="Q16" s="29"/>
      <c r="R16" s="15" t="s">
        <v>76</v>
      </c>
      <c r="S16" s="26" t="str">
        <f>_xlfn.IFNA(INDEX(Tabel13423232[ga_id],MATCH(U16,Tabel13423232[es_id],0)),"")</f>
        <v>800</v>
      </c>
      <c r="T16" s="26" t="str">
        <f>_xlfn.IFNA(INDEX(Tabel13423232[brp_id],MATCH(U16,Tabel13423232[es_id],0)),"")</f>
        <v>4400000000000</v>
      </c>
      <c r="U16" s="26" t="str">
        <f t="shared" si="3"/>
        <v>4000000000000</v>
      </c>
      <c r="V16" s="19">
        <f t="shared" si="3"/>
        <v>3.2472500000000002</v>
      </c>
      <c r="W16" s="19">
        <f>X16+W15</f>
        <v>3.2467500000000005</v>
      </c>
      <c r="X16" s="19">
        <f>V16-Y15</f>
        <v>-7.5000000000002842E-4</v>
      </c>
      <c r="Y16" s="23">
        <f t="shared" si="1"/>
        <v>3.2469999999999999</v>
      </c>
      <c r="Z16" s="27"/>
      <c r="AA16" s="27"/>
      <c r="AB16" s="2"/>
      <c r="AC16" s="2"/>
      <c r="AD16" s="36"/>
      <c r="AE16" s="36" t="str">
        <v>4000000000000</v>
      </c>
      <c r="AF16" s="36" t="str">
        <v>4400000000000</v>
      </c>
      <c r="AG16" s="36"/>
      <c r="AH16" s="36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spans="1:92" x14ac:dyDescent="0.25">
      <c r="C17" s="10"/>
      <c r="D17" s="10"/>
      <c r="E17" s="11"/>
      <c r="F17" s="12"/>
      <c r="G17" s="12"/>
      <c r="H17" s="41"/>
      <c r="I17" s="41"/>
      <c r="J17" s="43" t="str">
        <f t="shared" si="0"/>
        <v/>
      </c>
      <c r="K17" s="10"/>
      <c r="L17" s="10"/>
      <c r="M17" s="10"/>
      <c r="N17" s="10"/>
      <c r="O17" s="10"/>
      <c r="P17" s="29"/>
      <c r="Q17" s="29"/>
      <c r="R17" s="15" t="s">
        <v>77</v>
      </c>
      <c r="S17" s="26" t="str">
        <f>_xlfn.IFNA(INDEX(Tabel13423232[ga_id],MATCH(U17,Tabel13423232[es_id],0)),"")</f>
        <v>800</v>
      </c>
      <c r="T17" s="26" t="str">
        <f>_xlfn.IFNA(INDEX(Tabel13423232[brp_id],MATCH(U17,Tabel13423232[es_id],0)),"")</f>
        <v>4400000000000</v>
      </c>
      <c r="U17" s="26" t="str">
        <f t="shared" si="3"/>
        <v>4000000000000</v>
      </c>
      <c r="V17" s="19">
        <f t="shared" si="3"/>
        <v>3.2472500000000002</v>
      </c>
      <c r="W17" s="19">
        <f>X17+W16</f>
        <v>3.2470000000000008</v>
      </c>
      <c r="X17" s="19">
        <f>V17-Y16</f>
        <v>2.5000000000030553E-4</v>
      </c>
      <c r="Y17" s="23">
        <f t="shared" si="1"/>
        <v>3.2469999999999999</v>
      </c>
      <c r="Z17" s="27"/>
      <c r="AA17" s="27"/>
      <c r="AB17" s="2"/>
      <c r="AC17" s="2"/>
      <c r="AD17" s="36"/>
      <c r="AE17" s="36"/>
      <c r="AF17" s="36"/>
      <c r="AG17" s="36"/>
      <c r="AH17" s="36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spans="1:92" x14ac:dyDescent="0.25">
      <c r="C18" s="10"/>
      <c r="D18" s="10"/>
      <c r="E18" s="11"/>
      <c r="F18" s="12"/>
      <c r="G18" s="12"/>
      <c r="H18" s="41"/>
      <c r="I18" s="41"/>
      <c r="J18" s="43" t="str">
        <f t="shared" si="0"/>
        <v/>
      </c>
      <c r="K18" s="10"/>
      <c r="L18" s="10"/>
      <c r="M18" s="10"/>
      <c r="N18" s="10"/>
      <c r="O18" s="10"/>
      <c r="P18" s="29"/>
      <c r="Q18" s="29"/>
      <c r="R18" s="15" t="s">
        <v>74</v>
      </c>
      <c r="S18" s="26" t="str">
        <f>_xlfn.IFNA(INDEX(Tabel13423232[ga_id],MATCH(U18,Tabel13423232[es_id],0)),"")</f>
        <v/>
      </c>
      <c r="T18" s="26" t="str">
        <f>_xlfn.IFNA(INDEX(Tabel13423232[brp_id],MATCH(U18,Tabel13423232[es_id],0)),"")</f>
        <v/>
      </c>
      <c r="U18" s="26" t="str">
        <f>IF(AE$4=0,"",AE$4)</f>
        <v/>
      </c>
      <c r="V18" s="20">
        <f>SUMIFS(Tabel13423232[TotalHour],Tabel13423232[es_id],U18,IF(B$2="production",Tabel13423232[type],Tabel13423232[settlement_method]),AG$2,Tabel13423232[resolution],"PT1H")/4</f>
        <v>0</v>
      </c>
      <c r="W18" s="19">
        <f>V18</f>
        <v>0</v>
      </c>
      <c r="X18" s="19"/>
      <c r="Y18" s="23">
        <f t="shared" si="1"/>
        <v>0</v>
      </c>
      <c r="Z18" s="27"/>
      <c r="AA18" s="27"/>
      <c r="AB18" s="2"/>
      <c r="AC18" s="2"/>
      <c r="AD18" s="36"/>
      <c r="AE18" s="35"/>
      <c r="AF18" s="36"/>
      <c r="AG18" s="36"/>
      <c r="AH18" s="3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spans="1:92" x14ac:dyDescent="0.25">
      <c r="C19" s="10"/>
      <c r="D19" s="10"/>
      <c r="E19" s="11"/>
      <c r="F19" s="12"/>
      <c r="G19" s="12"/>
      <c r="H19" s="41"/>
      <c r="I19" s="41"/>
      <c r="J19" s="43" t="str">
        <f t="shared" si="0"/>
        <v/>
      </c>
      <c r="K19" s="10"/>
      <c r="L19" s="10"/>
      <c r="M19" s="10"/>
      <c r="N19" s="10"/>
      <c r="O19" s="10"/>
      <c r="P19" s="29"/>
      <c r="Q19" s="29"/>
      <c r="R19" s="15" t="s">
        <v>75</v>
      </c>
      <c r="S19" s="26" t="str">
        <f>_xlfn.IFNA(INDEX(Tabel13423232[ga_id],MATCH(U19,Tabel13423232[es_id],0)),"")</f>
        <v/>
      </c>
      <c r="T19" s="26" t="str">
        <f>_xlfn.IFNA(INDEX(Tabel13423232[brp_id],MATCH(U19,Tabel13423232[es_id],0)),"")</f>
        <v/>
      </c>
      <c r="U19" s="26" t="str">
        <f t="shared" ref="U19:V21" si="4">U$18</f>
        <v/>
      </c>
      <c r="V19" s="19">
        <f t="shared" si="4"/>
        <v>0</v>
      </c>
      <c r="W19" s="19">
        <f>X19+W18</f>
        <v>0</v>
      </c>
      <c r="X19" s="19">
        <f>V19-Y18</f>
        <v>0</v>
      </c>
      <c r="Y19" s="23">
        <f t="shared" si="1"/>
        <v>0</v>
      </c>
      <c r="Z19" s="27"/>
      <c r="AA19" s="27"/>
      <c r="AB19" s="2"/>
      <c r="AC19" s="2"/>
      <c r="AD19" s="36"/>
      <c r="AE19" s="36"/>
      <c r="AF19" s="36"/>
      <c r="AG19" s="36"/>
      <c r="AH19" s="36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spans="1:92" ht="23.25" x14ac:dyDescent="0.35">
      <c r="E20" s="44" t="str">
        <f>CONCATENATE(B2,"_per_",B1)</f>
        <v>production_per_ga_brp_es</v>
      </c>
      <c r="F20" s="44"/>
      <c r="G20" s="44"/>
      <c r="H20" s="44"/>
      <c r="I20" s="45" t="s">
        <v>21</v>
      </c>
      <c r="J20" s="46"/>
      <c r="K20" s="47"/>
      <c r="R20" s="15" t="s">
        <v>76</v>
      </c>
      <c r="S20" s="26" t="str">
        <f>_xlfn.IFNA(INDEX(Tabel13423232[ga_id],MATCH(U20,Tabel13423232[es_id],0)),"")</f>
        <v/>
      </c>
      <c r="T20" s="26" t="str">
        <f>_xlfn.IFNA(INDEX(Tabel13423232[brp_id],MATCH(U20,Tabel13423232[es_id],0)),"")</f>
        <v/>
      </c>
      <c r="U20" s="26" t="str">
        <f t="shared" si="4"/>
        <v/>
      </c>
      <c r="V20" s="19">
        <f t="shared" si="4"/>
        <v>0</v>
      </c>
      <c r="W20" s="19">
        <f>X20+W19</f>
        <v>0</v>
      </c>
      <c r="X20" s="19">
        <f>V20-Y19</f>
        <v>0</v>
      </c>
      <c r="Y20" s="23">
        <f t="shared" si="1"/>
        <v>0</v>
      </c>
      <c r="Z20" s="27"/>
      <c r="AA20" s="27"/>
      <c r="AB20" s="2"/>
      <c r="AC20" s="2"/>
      <c r="AD20" s="36"/>
      <c r="AE20" s="36"/>
      <c r="AF20" s="36"/>
      <c r="AG20" s="36"/>
      <c r="AH20" s="36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</row>
    <row r="21" spans="1:92" ht="18.75" x14ac:dyDescent="0.3">
      <c r="B21" s="3" t="s">
        <v>24</v>
      </c>
      <c r="C21" s="3" t="s">
        <v>23</v>
      </c>
      <c r="D21" s="4" t="s">
        <v>20</v>
      </c>
      <c r="E21" s="4" t="s">
        <v>18</v>
      </c>
      <c r="F21" s="5" t="s">
        <v>0</v>
      </c>
      <c r="G21" s="5" t="s">
        <v>1</v>
      </c>
      <c r="H21" s="5" t="s">
        <v>2</v>
      </c>
      <c r="I21" s="6" t="s">
        <v>15</v>
      </c>
      <c r="J21" s="6" t="s">
        <v>14</v>
      </c>
      <c r="K21" s="7" t="s">
        <v>78</v>
      </c>
      <c r="L21" s="2"/>
      <c r="M21" s="2"/>
      <c r="N21" s="2"/>
      <c r="O21" s="2"/>
      <c r="P21" s="2"/>
      <c r="Q21" s="2"/>
      <c r="R21" s="15" t="s">
        <v>77</v>
      </c>
      <c r="S21" s="26" t="str">
        <f>_xlfn.IFNA(INDEX(Tabel13423232[ga_id],MATCH(U21,Tabel13423232[es_id],0)),"")</f>
        <v/>
      </c>
      <c r="T21" s="26" t="str">
        <f>_xlfn.IFNA(INDEX(Tabel13423232[brp_id],MATCH(U21,Tabel13423232[es_id],0)),"")</f>
        <v/>
      </c>
      <c r="U21" s="26" t="str">
        <f t="shared" si="4"/>
        <v/>
      </c>
      <c r="V21" s="19">
        <f t="shared" si="4"/>
        <v>0</v>
      </c>
      <c r="W21" s="19">
        <f>X21+W20</f>
        <v>0</v>
      </c>
      <c r="X21" s="19">
        <f>V21-Y20</f>
        <v>0</v>
      </c>
      <c r="Y21" s="23">
        <f t="shared" si="1"/>
        <v>0</v>
      </c>
      <c r="Z21" s="27"/>
      <c r="AA21" s="27"/>
      <c r="AB21" s="2"/>
      <c r="AC21" s="2"/>
      <c r="AD21" s="36"/>
      <c r="AE21" s="35"/>
      <c r="AF21" s="35"/>
      <c r="AG21" s="36"/>
      <c r="AH21" s="36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spans="1:92" x14ac:dyDescent="0.25">
      <c r="A22" s="2"/>
      <c r="B22" s="16" t="str">
        <f>IF(AND(F22&lt;&gt;"null",F22&lt;&gt;""),IF(F22=INDEX(Tabel13423232[es_id],MATCH("GLMP",Tabel13423232[note],0),1),"glmp",""),IF(AND(G22&lt;&gt;"null",G22&lt;&gt;""),IF(G22=INDEX(Tabel13423232[brp_id],MATCH("GLMP",Tabel13423232[note],0),1),"glmp",""),IF(E22=INDEX(Tabel13423232[ga_id],MATCH("GLMP",Tabel13423232[note],0),1),"glmp","")))</f>
        <v/>
      </c>
      <c r="C22" s="16" t="str">
        <f>IF(AND(F22&lt;&gt;"null",F22&lt;&gt;""),IF(F22=INDEX(Tabel13423232[es_id],MATCH("SKMP",Tabel13423232[note],0),1),"skmp",""),IF(AND(G22&lt;&gt;"null",G22&lt;&gt;""),IF(G22=INDEX(Tabel13423232[brp_id],MATCH("SKMP",Tabel13423232[note],0),1),"skmp",""),IF(E22=INDEX(Tabel13423232[ga_id],MATCH("SKMP",Tabel13423232[note],0),1),"skmp","")))</f>
        <v>skmp</v>
      </c>
      <c r="D22" s="15" t="s">
        <v>74</v>
      </c>
      <c r="E22" s="31" t="str">
        <f>IF(B$1="ga",IF(AND(ROW()&gt;21,ROW()&lt;26),$AD$2,""),IF(OR(B$1="ga_es",B$1="ga_brp_es"),IF(AND(ROW()&lt;22+(COUNTA(AE$2:AE$11)*4),ROW()&gt;21),$AD$2,""),IF(B$1="ga_brp",IF(AND(ROW()&lt;22+(COUNTA(AF$2:AF$11)*4),ROW()&gt;21),$AD$2,""))))</f>
        <v>800</v>
      </c>
      <c r="F22" s="31" t="str">
        <f>IF(B$1="ga",IF(E22="","","null"),IF(OR(B$1="ga_es",B$1="ga_brp_es"),IF(AE$2=0,"",AE$2),IF(B$1="ga_brp",IF(G22="","","null"))))</f>
        <v>2000000000000</v>
      </c>
      <c r="G22" s="31" t="str">
        <f>IF(B$1="ga",IF(E22="","","null"),IF(B$1="ga_es",IF(F22="","","null"),IF(B$1="ga_brp",IF(AF$2=0,"",AF$2),IF(F22="","",INDEX(Tabel13423232[brp_id],MATCH(F22,Tabel13423232[es_id],0),1)))))</f>
        <v>2200000000000</v>
      </c>
      <c r="H22" s="33" t="str">
        <f t="shared" ref="H22:H45" ca="1" si="5">SUBSTITUTE(IF(E22="","",I22+J22+K22),",",".")</f>
        <v>1</v>
      </c>
      <c r="I22" s="9">
        <f>SUMIFS(Y$10:Y$33,IF(OR(B$1="ga_es",B$1="ga_brp_es"),U$10:U$33,IF(B$1="ga_brp",T$10:T$33,S$10:S$33)),IF(OR(B$1="ga_es",B$1="ga_brp_es"),F22,IF(B$1="ga_brp",G22,E22)),R$10:R$33,D22)</f>
        <v>0</v>
      </c>
      <c r="J22" s="9">
        <f ca="1">SUMIFS(INDIRECT(ADDRESS(2,MATCH(D22,$1:$1,0),4,1)&amp;":"&amp;ADDRESS(19,MATCH(D22,$1:$1,0),4,1)),IF(OR(B$1="ga_es",B$1="ga_brp_es"),Tabel13423232[es_id],IF(B$1="ga_brp",Tabel13423232[brp_id],Tabel13423232[ga_id])),IF(OR(B$1="ga_es",B$1="ga_brp_es"),F22,IF(B$1="ga_brp",G22,E22)),IF(B$2="production",Tabel13423232[type],Tabel13423232[settlement_method]),AG$2,Tabel13423232[resolution],"PT15M")</f>
        <v>1</v>
      </c>
      <c r="K22" s="9">
        <f t="shared" ref="K22:K45" si="6">IF(AND(C22="skmp",B$2="production"),VLOOKUP(D22,D$78:H$81,5,FALSE),IF(AND(B22="glmp",B$2="flex_consumption"),VLOOKUP(D22,D$72:H$75,5,FALSE),0))</f>
        <v>0</v>
      </c>
      <c r="L22" s="37"/>
      <c r="M22" s="2"/>
      <c r="N22" s="2"/>
      <c r="O22" s="2"/>
      <c r="P22" s="2"/>
      <c r="Q22" s="2"/>
      <c r="R22" s="15" t="s">
        <v>74</v>
      </c>
      <c r="S22" s="26" t="str">
        <f>_xlfn.IFNA(INDEX(Tabel13423232[ga_id],MATCH(U22,Tabel13423232[es_id],0)),"")</f>
        <v/>
      </c>
      <c r="T22" s="26" t="str">
        <f>_xlfn.IFNA(INDEX(Tabel13423232[brp_id],MATCH(U22,Tabel13423232[es_id],0)),"")</f>
        <v/>
      </c>
      <c r="U22" s="26" t="str">
        <f>IF(AE$5=0,"",AE$5)</f>
        <v/>
      </c>
      <c r="V22" s="20">
        <f>SUMIFS(Tabel13423232[TotalHour],Tabel13423232[es_id],U22,IF(B$2="production",Tabel13423232[type],Tabel13423232[settlement_method]),AG$2,Tabel13423232[resolution],"PT1H")/4</f>
        <v>0</v>
      </c>
      <c r="W22" s="19">
        <f>V22</f>
        <v>0</v>
      </c>
      <c r="X22" s="19"/>
      <c r="Y22" s="23">
        <f t="shared" si="1"/>
        <v>0</v>
      </c>
      <c r="Z22" s="27"/>
      <c r="AA22" s="27"/>
      <c r="AB22" s="2"/>
      <c r="AC22" s="2"/>
      <c r="AD22" s="36"/>
      <c r="AE22" s="35"/>
      <c r="AF22" s="35"/>
      <c r="AG22" s="36"/>
      <c r="AH22" s="3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</row>
    <row r="23" spans="1:92" x14ac:dyDescent="0.25">
      <c r="B23" s="16" t="str">
        <f>IF(AND(F23&lt;&gt;"null",F23&lt;&gt;""),IF(F23=INDEX(Tabel13423232[es_id],MATCH("GLMP",Tabel13423232[note],0),1),"glmp",""),IF(AND(G23&lt;&gt;"null",G23&lt;&gt;""),IF(G23=INDEX(Tabel13423232[brp_id],MATCH("GLMP",Tabel13423232[note],0),1),"glmp",""),IF(E23=INDEX(Tabel13423232[ga_id],MATCH("GLMP",Tabel13423232[note],0),1),"glmp","")))</f>
        <v/>
      </c>
      <c r="C23" s="16" t="str">
        <f>IF(AND(F23&lt;&gt;"null",F23&lt;&gt;""),IF(F23=INDEX(Tabel13423232[es_id],MATCH("SKMP",Tabel13423232[note],0),1),"skmp",""),IF(AND(G23&lt;&gt;"null",G23&lt;&gt;""),IF(G23=INDEX(Tabel13423232[brp_id],MATCH("SKMP",Tabel13423232[note],0),1),"skmp",""),IF(E23=INDEX(Tabel13423232[ga_id],MATCH("SKMP",Tabel13423232[note],0),1),"skmp","")))</f>
        <v>skmp</v>
      </c>
      <c r="D23" s="15" t="s">
        <v>75</v>
      </c>
      <c r="E23" s="31" t="str">
        <f t="shared" ref="E23:E45" si="7">IF(B$1="ga",IF(AND(ROW()&gt;21,ROW()&lt;26),$AD$2,""),IF(OR(B$1="ga_es",B$1="ga_brp_es"),IF(AND(ROW()&lt;22+(COUNTA(AE$2:AE$11)*4),ROW()&gt;21),$AD$2,""),IF(B$1="ga_brp",IF(AND(ROW()&lt;22+(COUNTA(AF$2:AF$11)*4),ROW()&gt;21),$AD$2,""))))</f>
        <v>800</v>
      </c>
      <c r="F23" s="31" t="str">
        <f>IF(B$1="ga",IF(E23="","","null"),IF(OR(B$1="ga_es",B$1="ga_brp_es"),IF(AE$2=0,"",AE$2),IF(B$1="ga_brp",IF(G23="","","null"))))</f>
        <v>2000000000000</v>
      </c>
      <c r="G23" s="31" t="str">
        <f>IF(B$1="ga",IF(E23="","","null"),IF(B$1="ga_es",IF(F23="","","null"),IF(B$1="ga_brp",IF(AF$2=0,"",AF$2),IF(F23="","",INDEX(Tabel13423232[brp_id],MATCH(F23,Tabel13423232[es_id],0),1)))))</f>
        <v>2200000000000</v>
      </c>
      <c r="H23" s="33" t="str">
        <f t="shared" ca="1" si="5"/>
        <v>1</v>
      </c>
      <c r="I23" s="9">
        <f t="shared" ref="I23:I45" si="8">SUMIFS(Y$10:Y$33,IF(OR(B$1="ga_es",B$1="ga_brp_es"),U$10:U$33,IF(B$1="ga_brp",T$10:T$33,S$10:S$33)),IF(OR(B$1="ga_es",B$1="ga_brp_es"),F23,IF(B$1="ga_brp",G23,E23)),R$10:R$33,D23)</f>
        <v>0</v>
      </c>
      <c r="J23" s="9">
        <f ca="1">SUMIFS(INDIRECT(ADDRESS(2,MATCH(D23,$1:$1,0),4,1)&amp;":"&amp;ADDRESS(19,MATCH(D23,$1:$1,0),4,1)),IF(OR(B$1="ga_es",B$1="ga_brp_es"),Tabel13423232[es_id],IF(B$1="ga_brp",Tabel13423232[brp_id],Tabel13423232[ga_id])),IF(OR(B$1="ga_es",B$1="ga_brp_es"),F23,IF(B$1="ga_brp",G23,E23)),IF(B$2="production",Tabel13423232[type],Tabel13423232[settlement_method]),AG$2,Tabel13423232[resolution],"PT15M")</f>
        <v>1</v>
      </c>
      <c r="K23" s="9">
        <f t="shared" si="6"/>
        <v>0</v>
      </c>
      <c r="L23" s="2"/>
      <c r="M23" s="2"/>
      <c r="N23" s="2"/>
      <c r="O23" s="2"/>
      <c r="P23" s="2"/>
      <c r="Q23" s="2"/>
      <c r="R23" s="15" t="s">
        <v>75</v>
      </c>
      <c r="S23" s="26" t="str">
        <f>_xlfn.IFNA(INDEX(Tabel13423232[ga_id],MATCH(U23,Tabel13423232[es_id],0)),"")</f>
        <v/>
      </c>
      <c r="T23" s="26" t="str">
        <f>_xlfn.IFNA(INDEX(Tabel13423232[brp_id],MATCH(U23,Tabel13423232[es_id],0)),"")</f>
        <v/>
      </c>
      <c r="U23" s="26" t="str">
        <f t="shared" ref="U23:V25" si="9">U$22</f>
        <v/>
      </c>
      <c r="V23" s="19">
        <f t="shared" si="9"/>
        <v>0</v>
      </c>
      <c r="W23" s="19">
        <f>X23+W22</f>
        <v>0</v>
      </c>
      <c r="X23" s="19">
        <f>V23-Y22</f>
        <v>0</v>
      </c>
      <c r="Y23" s="23">
        <f t="shared" si="1"/>
        <v>0</v>
      </c>
      <c r="Z23" s="27"/>
      <c r="AA23" s="27"/>
      <c r="AB23" s="2"/>
      <c r="AC23" s="2"/>
      <c r="AD23" s="36"/>
      <c r="AE23" s="35"/>
      <c r="AF23" s="35"/>
      <c r="AG23" s="36"/>
      <c r="AH23" s="36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</row>
    <row r="24" spans="1:92" x14ac:dyDescent="0.25">
      <c r="B24" s="16" t="str">
        <f>IF(AND(F24&lt;&gt;"null",F24&lt;&gt;""),IF(F24=INDEX(Tabel13423232[es_id],MATCH("GLMP",Tabel13423232[note],0),1),"glmp",""),IF(AND(G24&lt;&gt;"null",G24&lt;&gt;""),IF(G24=INDEX(Tabel13423232[brp_id],MATCH("GLMP",Tabel13423232[note],0),1),"glmp",""),IF(E24=INDEX(Tabel13423232[ga_id],MATCH("GLMP",Tabel13423232[note],0),1),"glmp","")))</f>
        <v/>
      </c>
      <c r="C24" s="16" t="str">
        <f>IF(AND(F24&lt;&gt;"null",F24&lt;&gt;""),IF(F24=INDEX(Tabel13423232[es_id],MATCH("SKMP",Tabel13423232[note],0),1),"skmp",""),IF(AND(G24&lt;&gt;"null",G24&lt;&gt;""),IF(G24=INDEX(Tabel13423232[brp_id],MATCH("SKMP",Tabel13423232[note],0),1),"skmp",""),IF(E24=INDEX(Tabel13423232[ga_id],MATCH("SKMP",Tabel13423232[note],0),1),"skmp","")))</f>
        <v>skmp</v>
      </c>
      <c r="D24" s="15" t="s">
        <v>76</v>
      </c>
      <c r="E24" s="31" t="str">
        <f t="shared" si="7"/>
        <v>800</v>
      </c>
      <c r="F24" s="31" t="str">
        <f>IF(B$1="ga",IF(E24="","","null"),IF(OR(B$1="ga_es",B$1="ga_brp_es"),IF(AE$2=0,"",AE$2),IF(B$1="ga_brp",IF(G24="","","null"))))</f>
        <v>2000000000000</v>
      </c>
      <c r="G24" s="31" t="str">
        <f>IF(B$1="ga",IF(E24="","","null"),IF(B$1="ga_es",IF(F24="","","null"),IF(B$1="ga_brp",IF(AF$2=0,"",AF$2),IF(F24="","",INDEX(Tabel13423232[brp_id],MATCH(F24,Tabel13423232[es_id],0),1)))))</f>
        <v>2200000000000</v>
      </c>
      <c r="H24" s="33" t="str">
        <f t="shared" ca="1" si="5"/>
        <v>1</v>
      </c>
      <c r="I24" s="9">
        <f t="shared" si="8"/>
        <v>0</v>
      </c>
      <c r="J24" s="9">
        <f ca="1">SUMIFS(INDIRECT(ADDRESS(2,MATCH(D24,$1:$1,0),4,1)&amp;":"&amp;ADDRESS(19,MATCH(D24,$1:$1,0),4,1)),IF(OR(B$1="ga_es",B$1="ga_brp_es"),Tabel13423232[es_id],IF(B$1="ga_brp",Tabel13423232[brp_id],Tabel13423232[ga_id])),IF(OR(B$1="ga_es",B$1="ga_brp_es"),F24,IF(B$1="ga_brp",G24,E24)),IF(B$2="production",Tabel13423232[type],Tabel13423232[settlement_method]),AG$2,Tabel13423232[resolution],"PT15M")</f>
        <v>1</v>
      </c>
      <c r="K24" s="9">
        <f t="shared" si="6"/>
        <v>0</v>
      </c>
      <c r="L24" s="2"/>
      <c r="M24" s="2"/>
      <c r="N24" s="2"/>
      <c r="O24" s="2"/>
      <c r="P24" s="2"/>
      <c r="Q24" s="2"/>
      <c r="R24" s="15" t="s">
        <v>76</v>
      </c>
      <c r="S24" s="26" t="str">
        <f>_xlfn.IFNA(INDEX(Tabel13423232[ga_id],MATCH(U24,Tabel13423232[es_id],0)),"")</f>
        <v/>
      </c>
      <c r="T24" s="26" t="str">
        <f>_xlfn.IFNA(INDEX(Tabel13423232[brp_id],MATCH(U24,Tabel13423232[es_id],0)),"")</f>
        <v/>
      </c>
      <c r="U24" s="26" t="str">
        <f t="shared" si="9"/>
        <v/>
      </c>
      <c r="V24" s="19">
        <f t="shared" si="9"/>
        <v>0</v>
      </c>
      <c r="W24" s="19">
        <f>X24+W23</f>
        <v>0</v>
      </c>
      <c r="X24" s="19">
        <f>V24-Y23</f>
        <v>0</v>
      </c>
      <c r="Y24" s="23">
        <f t="shared" si="1"/>
        <v>0</v>
      </c>
      <c r="Z24" s="27" t="str" cm="1">
        <f t="array" ref="Z24">_xlfn._xlws.SORT(_xlfn.UNIQUE(IFERROR(INDEX(_xlfn._xlws.FILTER(Tabel13423232[[type]:[brp_id]],(Tabel13423232[es_id]=AE6)*(Tabel13423232[settlement_method]="D01"),""),,6),"")))</f>
        <v/>
      </c>
      <c r="AA24" s="27"/>
      <c r="AB24" s="2"/>
      <c r="AC24" s="2"/>
      <c r="AD24" s="36"/>
      <c r="AE24" s="35"/>
      <c r="AF24" s="35"/>
      <c r="AG24" s="36"/>
      <c r="AH24" s="36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</row>
    <row r="25" spans="1:92" x14ac:dyDescent="0.25">
      <c r="B25" s="16" t="str">
        <f>IF(AND(F25&lt;&gt;"null",F25&lt;&gt;""),IF(F25=INDEX(Tabel13423232[es_id],MATCH("GLMP",Tabel13423232[note],0),1),"glmp",""),IF(AND(G25&lt;&gt;"null",G25&lt;&gt;""),IF(G25=INDEX(Tabel13423232[brp_id],MATCH("GLMP",Tabel13423232[note],0),1),"glmp",""),IF(E25=INDEX(Tabel13423232[ga_id],MATCH("GLMP",Tabel13423232[note],0),1),"glmp","")))</f>
        <v/>
      </c>
      <c r="C25" s="16" t="str">
        <f>IF(AND(F25&lt;&gt;"null",F25&lt;&gt;""),IF(F25=INDEX(Tabel13423232[es_id],MATCH("SKMP",Tabel13423232[note],0),1),"skmp",""),IF(AND(G25&lt;&gt;"null",G25&lt;&gt;""),IF(G25=INDEX(Tabel13423232[brp_id],MATCH("SKMP",Tabel13423232[note],0),1),"skmp",""),IF(E25=INDEX(Tabel13423232[ga_id],MATCH("SKMP",Tabel13423232[note],0),1),"skmp","")))</f>
        <v>skmp</v>
      </c>
      <c r="D25" s="15" t="s">
        <v>77</v>
      </c>
      <c r="E25" s="31" t="str">
        <f t="shared" si="7"/>
        <v>800</v>
      </c>
      <c r="F25" s="31" t="str">
        <f>IF(B$1="ga",IF(E25="","","null"),IF(OR(B$1="ga_es",B$1="ga_brp_es"),IF(AE$2=0,"",AE$2),IF(B$1="ga_brp",IF(G25="","","null"))))</f>
        <v>2000000000000</v>
      </c>
      <c r="G25" s="31" t="str">
        <f>IF(B$1="ga",IF(E25="","","null"),IF(B$1="ga_es",IF(F25="","","null"),IF(B$1="ga_brp",IF(AF$2=0,"",AF$2),IF(F25="","",INDEX(Tabel13423232[brp_id],MATCH(F25,Tabel13423232[es_id],0),1)))))</f>
        <v>2200000000000</v>
      </c>
      <c r="H25" s="33" t="str">
        <f t="shared" ca="1" si="5"/>
        <v>11.253</v>
      </c>
      <c r="I25" s="9">
        <f t="shared" si="8"/>
        <v>0</v>
      </c>
      <c r="J25" s="9">
        <f ca="1">SUMIFS(INDIRECT(ADDRESS(2,MATCH(D25,$1:$1,0),4,1)&amp;":"&amp;ADDRESS(19,MATCH(D25,$1:$1,0),4,1)),IF(OR(B$1="ga_es",B$1="ga_brp_es"),Tabel13423232[es_id],IF(B$1="ga_brp",Tabel13423232[brp_id],Tabel13423232[ga_id])),IF(OR(B$1="ga_es",B$1="ga_brp_es"),F25,IF(B$1="ga_brp",G25,E25)),IF(B$2="production",Tabel13423232[type],Tabel13423232[settlement_method]),AG$2,Tabel13423232[resolution],"PT15M")</f>
        <v>1</v>
      </c>
      <c r="K25" s="9">
        <f t="shared" si="6"/>
        <v>10.253</v>
      </c>
      <c r="L25" s="2"/>
      <c r="M25" s="2"/>
      <c r="N25" s="2"/>
      <c r="O25" s="2"/>
      <c r="P25" s="2"/>
      <c r="Q25" s="2"/>
      <c r="R25" s="15" t="s">
        <v>77</v>
      </c>
      <c r="S25" s="26" t="str">
        <f>_xlfn.IFNA(INDEX(Tabel13423232[ga_id],MATCH(U25,Tabel13423232[es_id],0)),"")</f>
        <v/>
      </c>
      <c r="T25" s="26" t="str">
        <f>_xlfn.IFNA(INDEX(Tabel13423232[brp_id],MATCH(U25,Tabel13423232[es_id],0)),"")</f>
        <v/>
      </c>
      <c r="U25" s="26" t="str">
        <f t="shared" si="9"/>
        <v/>
      </c>
      <c r="V25" s="19">
        <f t="shared" si="9"/>
        <v>0</v>
      </c>
      <c r="W25" s="19">
        <f>X25+W24</f>
        <v>0</v>
      </c>
      <c r="X25" s="19">
        <f>V25-Y24</f>
        <v>0</v>
      </c>
      <c r="Y25" s="23">
        <f t="shared" si="1"/>
        <v>0</v>
      </c>
      <c r="Z25" s="27" t="str" cm="1">
        <f t="array" ref="Z25">_xlfn._xlws.SORT(_xlfn.UNIQUE(IFERROR(INDEX(_xlfn._xlws.FILTER(Tabel13423232[[type]:[brp_id]],(Tabel13423232[es_id]=AE7)*(Tabel13423232[settlement_method]="D01"),""),,6),"")))</f>
        <v/>
      </c>
      <c r="AA25" s="27"/>
      <c r="AB25" s="2"/>
      <c r="AC25" s="2"/>
      <c r="AD25" s="36"/>
      <c r="AE25" s="35"/>
      <c r="AF25" s="35"/>
      <c r="AG25" s="36"/>
      <c r="AH25" s="36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</row>
    <row r="26" spans="1:92" x14ac:dyDescent="0.25">
      <c r="B26" s="16" t="str">
        <f>IF(AND(F26&lt;&gt;"null",F26&lt;&gt;""),IF(F26=INDEX(Tabel13423232[es_id],MATCH("GLMP",Tabel13423232[note],0),1),"glmp",""),IF(AND(G26&lt;&gt;"null",G26&lt;&gt;""),IF(G26=INDEX(Tabel13423232[brp_id],MATCH("GLMP",Tabel13423232[note],0),1),"glmp",""),IF(E26=INDEX(Tabel13423232[ga_id],MATCH("GLMP",Tabel13423232[note],0),1),"glmp","")))</f>
        <v/>
      </c>
      <c r="C26" s="16" t="str">
        <f>IF(AND(F26&lt;&gt;"null",F26&lt;&gt;""),IF(F26=INDEX(Tabel13423232[es_id],MATCH("SKMP",Tabel13423232[note],0),1),"skmp",""),IF(AND(G26&lt;&gt;"null",G26&lt;&gt;""),IF(G26=INDEX(Tabel13423232[brp_id],MATCH("SKMP",Tabel13423232[note],0),1),"skmp",""),IF(E26=INDEX(Tabel13423232[ga_id],MATCH("SKMP",Tabel13423232[note],0),1),"skmp","")))</f>
        <v/>
      </c>
      <c r="D26" s="15" t="s">
        <v>74</v>
      </c>
      <c r="E26" s="31" t="str">
        <f t="shared" si="7"/>
        <v>800</v>
      </c>
      <c r="F26" s="31" t="str">
        <f>IF(B$1="ga",IF(E26="","","null"),IF(OR(B$1="ga_es",B$1="ga_brp_es"),IF(AE$3=0,"",AE$3),IF(B$1="ga_brp",IF(G26="","","null"))))</f>
        <v>4000000000000</v>
      </c>
      <c r="G26" s="31" t="str">
        <f>IF(B$1="ga",IF(E26="","","null"),IF(B$1="ga_es",IF(F26="","","null"),IF(B$1="ga_brp",IF(AF$3=0,"",AF$3),IF(F26="","",INDEX(Tabel13423232[brp_id],MATCH(F26,Tabel13423232[es_id],0),1)))))</f>
        <v>4400000000000</v>
      </c>
      <c r="H26" s="33" t="str">
        <f t="shared" ca="1" si="5"/>
        <v>3.247</v>
      </c>
      <c r="I26" s="9">
        <f t="shared" si="8"/>
        <v>3.2469999999999999</v>
      </c>
      <c r="J26" s="9">
        <f ca="1">SUMIFS(INDIRECT(ADDRESS(2,MATCH(D26,$1:$1,0),4,1)&amp;":"&amp;ADDRESS(19,MATCH(D26,$1:$1,0),4,1)),IF(OR(B$1="ga_es",B$1="ga_brp_es"),Tabel13423232[es_id],IF(B$1="ga_brp",Tabel13423232[brp_id],Tabel13423232[ga_id])),IF(OR(B$1="ga_es",B$1="ga_brp_es"),F26,IF(B$1="ga_brp",G26,E26)),IF(B$2="production",Tabel13423232[type],Tabel13423232[settlement_method]),AG$2,Tabel13423232[resolution],"PT15M")</f>
        <v>0</v>
      </c>
      <c r="K26" s="9">
        <f t="shared" si="6"/>
        <v>0</v>
      </c>
      <c r="L26" s="2"/>
      <c r="M26" s="2"/>
      <c r="N26" s="2"/>
      <c r="O26" s="2"/>
      <c r="P26" s="2"/>
      <c r="Q26" s="2"/>
      <c r="R26" s="15" t="s">
        <v>74</v>
      </c>
      <c r="S26" s="26" t="str">
        <f>_xlfn.IFNA(INDEX(Tabel13423232[ga_id],MATCH(U26,Tabel13423232[es_id],0)),"")</f>
        <v/>
      </c>
      <c r="T26" s="26" t="str">
        <f>_xlfn.IFNA(INDEX(Tabel13423232[brp_id],MATCH(U26,Tabel13423232[es_id],0)),"")</f>
        <v/>
      </c>
      <c r="U26" s="26" t="str">
        <f>IF(AE$6=0,"",AE$6)</f>
        <v/>
      </c>
      <c r="V26" s="20">
        <f>SUMIFS(Tabel13423232[TotalHour],Tabel13423232[es_id],U26,IF(B$2="production",Tabel13423232[type],Tabel13423232[settlement_method]),AG$2,Tabel13423232[resolution],"PT1H")/4</f>
        <v>0</v>
      </c>
      <c r="W26" s="19">
        <f>V26</f>
        <v>0</v>
      </c>
      <c r="X26" s="19"/>
      <c r="Y26" s="23">
        <f t="shared" si="1"/>
        <v>0</v>
      </c>
      <c r="Z26" s="24"/>
      <c r="AA26" s="27"/>
      <c r="AB26" s="2"/>
      <c r="AC26" s="2"/>
      <c r="AD26" s="36"/>
      <c r="AE26" s="35"/>
      <c r="AF26" s="35"/>
      <c r="AG26" s="36"/>
      <c r="AH26" s="3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</row>
    <row r="27" spans="1:92" x14ac:dyDescent="0.25">
      <c r="B27" s="16" t="str">
        <f>IF(AND(F27&lt;&gt;"null",F27&lt;&gt;""),IF(F27=INDEX(Tabel13423232[es_id],MATCH("GLMP",Tabel13423232[note],0),1),"glmp",""),IF(AND(G27&lt;&gt;"null",G27&lt;&gt;""),IF(G27=INDEX(Tabel13423232[brp_id],MATCH("GLMP",Tabel13423232[note],0),1),"glmp",""),IF(E27=INDEX(Tabel13423232[ga_id],MATCH("GLMP",Tabel13423232[note],0),1),"glmp","")))</f>
        <v/>
      </c>
      <c r="C27" s="16" t="str">
        <f>IF(AND(F27&lt;&gt;"null",F27&lt;&gt;""),IF(F27=INDEX(Tabel13423232[es_id],MATCH("SKMP",Tabel13423232[note],0),1),"skmp",""),IF(AND(G27&lt;&gt;"null",G27&lt;&gt;""),IF(G27=INDEX(Tabel13423232[brp_id],MATCH("SKMP",Tabel13423232[note],0),1),"skmp",""),IF(E27=INDEX(Tabel13423232[ga_id],MATCH("SKMP",Tabel13423232[note],0),1),"skmp","")))</f>
        <v/>
      </c>
      <c r="D27" s="15" t="s">
        <v>75</v>
      </c>
      <c r="E27" s="31" t="str">
        <f t="shared" si="7"/>
        <v>800</v>
      </c>
      <c r="F27" s="31" t="str">
        <f>IF(B$1="ga",IF(E27="","","null"),IF(OR(B$1="ga_es",B$1="ga_brp_es"),IF(AE$3=0,"",AE$3),IF(B$1="ga_brp",IF(G27="","","null"))))</f>
        <v>4000000000000</v>
      </c>
      <c r="G27" s="31" t="str">
        <f>IF(B$1="ga",IF(E27="","","null"),IF(B$1="ga_es",IF(F27="","","null"),IF(B$1="ga_brp",IF(AF$3=0,"",AF$3),IF(F27="","",INDEX(Tabel13423232[brp_id],MATCH(F27,Tabel13423232[es_id],0),1)))))</f>
        <v>4400000000000</v>
      </c>
      <c r="H27" s="33" t="str">
        <f t="shared" ca="1" si="5"/>
        <v>3.248</v>
      </c>
      <c r="I27" s="9">
        <f t="shared" si="8"/>
        <v>3.2480000000000002</v>
      </c>
      <c r="J27" s="9">
        <f ca="1">SUMIFS(INDIRECT(ADDRESS(2,MATCH(D27,$1:$1,0),4,1)&amp;":"&amp;ADDRESS(19,MATCH(D27,$1:$1,0),4,1)),IF(OR(B$1="ga_es",B$1="ga_brp_es"),Tabel13423232[es_id],IF(B$1="ga_brp",Tabel13423232[brp_id],Tabel13423232[ga_id])),IF(OR(B$1="ga_es",B$1="ga_brp_es"),F27,IF(B$1="ga_brp",G27,E27)),IF(B$2="production",Tabel13423232[type],Tabel13423232[settlement_method]),AG$2,Tabel13423232[resolution],"PT15M")</f>
        <v>0</v>
      </c>
      <c r="K27" s="9">
        <f t="shared" si="6"/>
        <v>0</v>
      </c>
      <c r="L27" s="2"/>
      <c r="M27" s="2"/>
      <c r="N27" s="2"/>
      <c r="O27" s="2"/>
      <c r="P27" s="2"/>
      <c r="Q27" s="2"/>
      <c r="R27" s="15" t="s">
        <v>75</v>
      </c>
      <c r="S27" s="26" t="str">
        <f>_xlfn.IFNA(INDEX(Tabel13423232[ga_id],MATCH(U27,Tabel13423232[es_id],0)),"")</f>
        <v/>
      </c>
      <c r="T27" s="26" t="str">
        <f>_xlfn.IFNA(INDEX(Tabel13423232[brp_id],MATCH(U27,Tabel13423232[es_id],0)),"")</f>
        <v/>
      </c>
      <c r="U27" s="26" t="str">
        <f t="shared" ref="U27:V29" si="10">U$26</f>
        <v/>
      </c>
      <c r="V27" s="19">
        <f t="shared" si="10"/>
        <v>0</v>
      </c>
      <c r="W27" s="19">
        <f>X27+W26</f>
        <v>0</v>
      </c>
      <c r="X27" s="19">
        <f>V27-Y26</f>
        <v>0</v>
      </c>
      <c r="Y27" s="23">
        <f t="shared" si="1"/>
        <v>0</v>
      </c>
      <c r="Z27" s="24"/>
      <c r="AA27" s="27"/>
      <c r="AB27" s="2"/>
      <c r="AC27" s="2"/>
      <c r="AD27" s="36"/>
      <c r="AE27" s="36" t="str">
        <f>_xlfn.CONCAT("Energy suppliers for "&amp;B2)</f>
        <v>Energy suppliers for production</v>
      </c>
      <c r="AF27" s="36" t="str">
        <f>_xlfn.CONCAT("Balance responsibles for "&amp;B2)</f>
        <v>Balance responsibles for production</v>
      </c>
      <c r="AG27" s="36"/>
      <c r="AH27" s="36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</row>
    <row r="28" spans="1:92" x14ac:dyDescent="0.25">
      <c r="B28" s="16" t="str">
        <f>IF(AND(F28&lt;&gt;"null",F28&lt;&gt;""),IF(F28=INDEX(Tabel13423232[es_id],MATCH("GLMP",Tabel13423232[note],0),1),"glmp",""),IF(AND(G28&lt;&gt;"null",G28&lt;&gt;""),IF(G28=INDEX(Tabel13423232[brp_id],MATCH("GLMP",Tabel13423232[note],0),1),"glmp",""),IF(E28=INDEX(Tabel13423232[ga_id],MATCH("GLMP",Tabel13423232[note],0),1),"glmp","")))</f>
        <v/>
      </c>
      <c r="C28" s="16" t="str">
        <f>IF(AND(F28&lt;&gt;"null",F28&lt;&gt;""),IF(F28=INDEX(Tabel13423232[es_id],MATCH("SKMP",Tabel13423232[note],0),1),"skmp",""),IF(AND(G28&lt;&gt;"null",G28&lt;&gt;""),IF(G28=INDEX(Tabel13423232[brp_id],MATCH("SKMP",Tabel13423232[note],0),1),"skmp",""),IF(E28=INDEX(Tabel13423232[ga_id],MATCH("SKMP",Tabel13423232[note],0),1),"skmp","")))</f>
        <v/>
      </c>
      <c r="D28" s="15" t="s">
        <v>76</v>
      </c>
      <c r="E28" s="31" t="str">
        <f t="shared" si="7"/>
        <v>800</v>
      </c>
      <c r="F28" s="31" t="str">
        <f>IF(B$1="ga",IF(E28="","","null"),IF(OR(B$1="ga_es",B$1="ga_brp_es"),IF(AE$3=0,"",AE$3),IF(B$1="ga_brp",IF(G28="","","null"))))</f>
        <v>4000000000000</v>
      </c>
      <c r="G28" s="31" t="str">
        <f>IF(B$1="ga",IF(E28="","","null"),IF(B$1="ga_es",IF(F28="","","null"),IF(B$1="ga_brp",IF(AF$3=0,"",AF$3),IF(F28="","",INDEX(Tabel13423232[brp_id],MATCH(F28,Tabel13423232[es_id],0),1)))))</f>
        <v>4400000000000</v>
      </c>
      <c r="H28" s="33" t="str">
        <f t="shared" ca="1" si="5"/>
        <v>3.247</v>
      </c>
      <c r="I28" s="9">
        <f t="shared" si="8"/>
        <v>3.2469999999999999</v>
      </c>
      <c r="J28" s="9">
        <f ca="1">SUMIFS(INDIRECT(ADDRESS(2,MATCH(D28,$1:$1,0),4,1)&amp;":"&amp;ADDRESS(19,MATCH(D28,$1:$1,0),4,1)),IF(OR(B$1="ga_es",B$1="ga_brp_es"),Tabel13423232[es_id],IF(B$1="ga_brp",Tabel13423232[brp_id],Tabel13423232[ga_id])),IF(OR(B$1="ga_es",B$1="ga_brp_es"),F28,IF(B$1="ga_brp",G28,E28)),IF(B$2="production",Tabel13423232[type],Tabel13423232[settlement_method]),AG$2,Tabel13423232[resolution],"PT15M")</f>
        <v>0</v>
      </c>
      <c r="K28" s="9">
        <f t="shared" si="6"/>
        <v>0</v>
      </c>
      <c r="L28" s="2"/>
      <c r="M28" s="2"/>
      <c r="N28" s="2"/>
      <c r="O28" s="2"/>
      <c r="P28" s="2"/>
      <c r="Q28" s="2"/>
      <c r="R28" s="15" t="s">
        <v>76</v>
      </c>
      <c r="S28" s="26" t="str">
        <f>_xlfn.IFNA(INDEX(Tabel13423232[ga_id],MATCH(U28,Tabel13423232[es_id],0)),"")</f>
        <v/>
      </c>
      <c r="T28" s="26" t="str">
        <f>_xlfn.IFNA(INDEX(Tabel13423232[brp_id],MATCH(U28,Tabel13423232[es_id],0)),"")</f>
        <v/>
      </c>
      <c r="U28" s="26" t="str">
        <f t="shared" si="10"/>
        <v/>
      </c>
      <c r="V28" s="19">
        <f t="shared" si="10"/>
        <v>0</v>
      </c>
      <c r="W28" s="19">
        <f>X28+W27</f>
        <v>0</v>
      </c>
      <c r="X28" s="19">
        <f>V28-Y27</f>
        <v>0</v>
      </c>
      <c r="Y28" s="23">
        <f t="shared" si="1"/>
        <v>0</v>
      </c>
      <c r="Z28" s="24"/>
      <c r="AA28" s="27"/>
      <c r="AB28" s="2"/>
      <c r="AC28" s="2"/>
      <c r="AD28" s="36"/>
      <c r="AE28" s="36" t="str" cm="1">
        <f t="array" ref="AE28">IFERROR(IF($B$2="production",INDEX(_xlfn._xlws.FILTER(Tabel13423232[[type]:[brp_id]],(Tabel13423232[es_id]=AE13)*(Tabel13423232[type]="E18"),""),,9),INDEX(_xlfn._xlws.FILTER(Tabel13423232[[type]:[brp_id]],(Tabel13423232[es_id]=AE13)*(Tabel13423232[settlement_method]=AG$2),""),,9)),"")</f>
        <v/>
      </c>
      <c r="AF28" s="36" t="str" cm="1">
        <f t="array" ref="AF28">IFERROR(IF($B$2="production",_xlfn.UNIQUE(INDEX(_xlfn._xlws.FILTER(Tabel13423232[[type]:[brp_id]],(Tabel13423232[brp_id]=AF13)*(Tabel13423232[type]=$AG$2),""),,10)),_xlfn.UNIQUE(INDEX(_xlfn._xlws.FILTER(Tabel13423232[[type]:[brp_id]],(Tabel13423232[brp_id]=AF13)*(Tabel13423232[settlement_method]=AG$2),""),,10))),"")</f>
        <v/>
      </c>
      <c r="AG28" s="36"/>
      <c r="AH28" s="36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spans="1:92" x14ac:dyDescent="0.25">
      <c r="B29" s="16" t="str">
        <f>IF(AND(F29&lt;&gt;"null",F29&lt;&gt;""),IF(F29=INDEX(Tabel13423232[es_id],MATCH("GLMP",Tabel13423232[note],0),1),"glmp",""),IF(AND(G29&lt;&gt;"null",G29&lt;&gt;""),IF(G29=INDEX(Tabel13423232[brp_id],MATCH("GLMP",Tabel13423232[note],0),1),"glmp",""),IF(E29=INDEX(Tabel13423232[ga_id],MATCH("GLMP",Tabel13423232[note],0),1),"glmp","")))</f>
        <v/>
      </c>
      <c r="C29" s="16" t="str">
        <f>IF(AND(F29&lt;&gt;"null",F29&lt;&gt;""),IF(F29=INDEX(Tabel13423232[es_id],MATCH("SKMP",Tabel13423232[note],0),1),"skmp",""),IF(AND(G29&lt;&gt;"null",G29&lt;&gt;""),IF(G29=INDEX(Tabel13423232[brp_id],MATCH("SKMP",Tabel13423232[note],0),1),"skmp",""),IF(E29=INDEX(Tabel13423232[ga_id],MATCH("SKMP",Tabel13423232[note],0),1),"skmp","")))</f>
        <v/>
      </c>
      <c r="D29" s="15" t="s">
        <v>77</v>
      </c>
      <c r="E29" s="31" t="str">
        <f t="shared" si="7"/>
        <v>800</v>
      </c>
      <c r="F29" s="31" t="str">
        <f>IF(B$1="ga",IF(E29="","","null"),IF(OR(B$1="ga_es",B$1="ga_brp_es"),IF(AE$3=0,"",AE$3),IF(B$1="ga_brp",IF(G29="","","null"))))</f>
        <v>4000000000000</v>
      </c>
      <c r="G29" s="31" t="str">
        <f>IF(B$1="ga",IF(E29="","","null"),IF(B$1="ga_es",IF(F29="","","null"),IF(B$1="ga_brp",IF(AF$3=0,"",AF$3),IF(F29="","",INDEX(Tabel13423232[brp_id],MATCH(F29,Tabel13423232[es_id],0),1)))))</f>
        <v>4400000000000</v>
      </c>
      <c r="H29" s="33" t="str">
        <f t="shared" ca="1" si="5"/>
        <v>3.247</v>
      </c>
      <c r="I29" s="9">
        <f t="shared" si="8"/>
        <v>3.2469999999999999</v>
      </c>
      <c r="J29" s="9">
        <f ca="1">SUMIFS(INDIRECT(ADDRESS(2,MATCH(D29,$1:$1,0),4,1)&amp;":"&amp;ADDRESS(19,MATCH(D29,$1:$1,0),4,1)),IF(OR(B$1="ga_es",B$1="ga_brp_es"),Tabel13423232[es_id],IF(B$1="ga_brp",Tabel13423232[brp_id],Tabel13423232[ga_id])),IF(OR(B$1="ga_es",B$1="ga_brp_es"),F29,IF(B$1="ga_brp",G29,E29)),IF(B$2="production",Tabel13423232[type],Tabel13423232[settlement_method]),AG$2,Tabel13423232[resolution],"PT15M")</f>
        <v>0</v>
      </c>
      <c r="K29" s="9">
        <f t="shared" si="6"/>
        <v>0</v>
      </c>
      <c r="L29" s="2"/>
      <c r="R29" s="15" t="s">
        <v>77</v>
      </c>
      <c r="S29" s="26" t="str">
        <f>_xlfn.IFNA(INDEX(Tabel13423232[ga_id],MATCH(U29,Tabel13423232[es_id],0)),"")</f>
        <v/>
      </c>
      <c r="T29" s="26" t="str">
        <f>_xlfn.IFNA(INDEX(Tabel13423232[brp_id],MATCH(U29,Tabel13423232[es_id],0)),"")</f>
        <v/>
      </c>
      <c r="U29" s="26" t="str">
        <f t="shared" si="10"/>
        <v/>
      </c>
      <c r="V29" s="19">
        <f t="shared" si="10"/>
        <v>0</v>
      </c>
      <c r="W29" s="19">
        <f>X29+W28</f>
        <v>0</v>
      </c>
      <c r="X29" s="19">
        <f>V29-Y28</f>
        <v>0</v>
      </c>
      <c r="Y29" s="23">
        <f t="shared" si="1"/>
        <v>0</v>
      </c>
      <c r="Z29" s="24"/>
      <c r="AA29" s="27"/>
      <c r="AB29" s="2"/>
      <c r="AC29" s="2"/>
      <c r="AD29" s="36"/>
      <c r="AF29" s="36" t="str" cm="1">
        <f t="array" ref="AF29">IFERROR(IF($B$2="production",_xlfn.UNIQUE(INDEX(_xlfn._xlws.FILTER(Tabel13423232[[type]:[brp_id]],(Tabel13423232[brp_id]=AF14)*(Tabel13423232[type]=$AG$2),""),,10)),_xlfn.UNIQUE(INDEX(_xlfn._xlws.FILTER(Tabel13423232[[type]:[brp_id]],(Tabel13423232[brp_id]=AF14)*(Tabel13423232[settlement_method]=AG$2),""),,10))),"")</f>
        <v>2200000000000</v>
      </c>
      <c r="AG29" s="36"/>
      <c r="AH29" s="36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spans="1:92" x14ac:dyDescent="0.25">
      <c r="B30" s="16" t="str">
        <f>IF(AND(F30&lt;&gt;"null",F30&lt;&gt;""),IF(F30=INDEX(Tabel13423232[es_id],MATCH("GLMP",Tabel13423232[note],0),1),"glmp",""),IF(AND(G30&lt;&gt;"null",G30&lt;&gt;""),IF(G30=INDEX(Tabel13423232[brp_id],MATCH("GLMP",Tabel13423232[note],0),1),"glmp",""),IF(E30=INDEX(Tabel13423232[ga_id],MATCH("GLMP",Tabel13423232[note],0),1),"glmp","")))</f>
        <v/>
      </c>
      <c r="C30" s="16" t="str">
        <f>IF(AND(F30&lt;&gt;"null",F30&lt;&gt;""),IF(F30=INDEX(Tabel13423232[es_id],MATCH("SKMP",Tabel13423232[note],0),1),"skmp",""),IF(AND(G30&lt;&gt;"null",G30&lt;&gt;""),IF(G30=INDEX(Tabel13423232[brp_id],MATCH("SKMP",Tabel13423232[note],0),1),"skmp",""),IF(E30=INDEX(Tabel13423232[ga_id],MATCH("SKMP",Tabel13423232[note],0),1),"skmp","")))</f>
        <v/>
      </c>
      <c r="D30" s="15" t="s">
        <v>74</v>
      </c>
      <c r="E30" s="31" t="str">
        <f t="shared" si="7"/>
        <v/>
      </c>
      <c r="F30" s="31" t="str">
        <f>IF(B$1="ga",IF(E30="","","null"),IF(OR(B$1="ga_es",B$1="ga_brp_es"),IF(AE$4=0,"",AE$4),IF(B$1="ga_brp",IF(G30="","","null"))))</f>
        <v/>
      </c>
      <c r="G30" s="31" t="str">
        <f>IF(B$1="ga",IF(E30="","","null"),IF(B$1="ga_es",IF(F30="","","null"),IF(B$1="ga_brp",IF(AF$4=0,"",AF$4),IF(F30="","",INDEX(Tabel13423232[brp_id],MATCH(F30,Tabel13423232[es_id],0),1)))))</f>
        <v/>
      </c>
      <c r="H30" s="33" t="str">
        <f t="shared" si="5"/>
        <v/>
      </c>
      <c r="I30" s="9">
        <f t="shared" si="8"/>
        <v>0</v>
      </c>
      <c r="J30" s="9">
        <f ca="1">SUMIFS(INDIRECT(ADDRESS(2,MATCH(D30,$1:$1,0),4,1)&amp;":"&amp;ADDRESS(19,MATCH(D30,$1:$1,0),4,1)),IF(OR(B$1="ga_es",B$1="ga_brp_es"),Tabel13423232[es_id],IF(B$1="ga_brp",Tabel13423232[brp_id],Tabel13423232[ga_id])),IF(OR(B$1="ga_es",B$1="ga_brp_es"),F30,IF(B$1="ga_brp",G30,E30)),IF(B$2="production",Tabel13423232[type],Tabel13423232[settlement_method]),AG$2,Tabel13423232[resolution],"PT15M")</f>
        <v>0</v>
      </c>
      <c r="K30" s="9">
        <f t="shared" si="6"/>
        <v>0</v>
      </c>
      <c r="L30" s="2"/>
      <c r="R30" s="15" t="s">
        <v>74</v>
      </c>
      <c r="S30" s="26" t="str">
        <f>_xlfn.IFNA(INDEX(Tabel13423232[ga_id],MATCH(U30,Tabel13423232[es_id],0)),"")</f>
        <v/>
      </c>
      <c r="T30" s="26" t="str">
        <f>_xlfn.IFNA(INDEX(Tabel13423232[brp_id],MATCH(U30,Tabel13423232[es_id],0)),"")</f>
        <v/>
      </c>
      <c r="U30" s="26" t="str">
        <f>IF(AE$7=0,"",AE$7)</f>
        <v/>
      </c>
      <c r="V30" s="20">
        <f>SUMIFS(Tabel13423232[TotalHour],Tabel13423232[es_id],U30,IF(B$2="production",Tabel13423232[type],Tabel13423232[settlement_method]),AG$2,Tabel13423232[resolution],"PT1H")/4</f>
        <v>0</v>
      </c>
      <c r="W30" s="19">
        <f>V30</f>
        <v>0</v>
      </c>
      <c r="X30" s="19"/>
      <c r="Y30" s="23">
        <f t="shared" si="1"/>
        <v>0</v>
      </c>
      <c r="Z30" s="24"/>
      <c r="AA30" s="27"/>
      <c r="AB30" s="2"/>
      <c r="AC30" s="2"/>
      <c r="AD30" s="36"/>
      <c r="AE30" s="36" t="str" cm="1">
        <f t="array" ref="AE30">IFERROR(IF($B$2="production",_xlfn.UNIQUE(INDEX(_xlfn._xlws.FILTER(Tabel13423232[[type]:[brp_id]],(Tabel13423232[es_id]=AE14)*(Tabel13423232[type]="E18"),""),,9)),_xlfn.UNIQUE(INDEX(_xlfn._xlws.FILTER(Tabel13423232[[type]:[brp_id]],(Tabel13423232[es_id]=AE14)*(Tabel13423232[settlement_method]=AG$2),""),,9))),"")</f>
        <v>2000000000000</v>
      </c>
      <c r="AF30" s="36" t="str" cm="1">
        <f t="array" ref="AF30">IFERROR(IF($B$2="production",_xlfn.UNIQUE(INDEX(_xlfn._xlws.FILTER(Tabel13423232[[type]:[brp_id]],(Tabel13423232[brp_id]=AF15)*(Tabel13423232[type]=$AG$2),""),,10)),_xlfn.UNIQUE(INDEX(_xlfn._xlws.FILTER(Tabel13423232[[type]:[brp_id]],(Tabel13423232[brp_id]=AF15)*(Tabel13423232[settlement_method]=AG$2),""),,10))),"")</f>
        <v/>
      </c>
      <c r="AG30" s="36"/>
      <c r="AH30" s="3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</row>
    <row r="31" spans="1:92" x14ac:dyDescent="0.25">
      <c r="B31" s="16" t="str">
        <f>IF(AND(F31&lt;&gt;"null",F31&lt;&gt;""),IF(F31=INDEX(Tabel13423232[es_id],MATCH("GLMP",Tabel13423232[note],0),1),"glmp",""),IF(AND(G31&lt;&gt;"null",G31&lt;&gt;""),IF(G31=INDEX(Tabel13423232[brp_id],MATCH("GLMP",Tabel13423232[note],0),1),"glmp",""),IF(E31=INDEX(Tabel13423232[ga_id],MATCH("GLMP",Tabel13423232[note],0),1),"glmp","")))</f>
        <v/>
      </c>
      <c r="C31" s="16" t="str">
        <f>IF(AND(F31&lt;&gt;"null",F31&lt;&gt;""),IF(F31=INDEX(Tabel13423232[es_id],MATCH("SKMP",Tabel13423232[note],0),1),"skmp",""),IF(AND(G31&lt;&gt;"null",G31&lt;&gt;""),IF(G31=INDEX(Tabel13423232[brp_id],MATCH("SKMP",Tabel13423232[note],0),1),"skmp",""),IF(E31=INDEX(Tabel13423232[ga_id],MATCH("SKMP",Tabel13423232[note],0),1),"skmp","")))</f>
        <v/>
      </c>
      <c r="D31" s="15" t="s">
        <v>75</v>
      </c>
      <c r="E31" s="31" t="str">
        <f t="shared" si="7"/>
        <v/>
      </c>
      <c r="F31" s="31" t="str">
        <f>IF(B$1="ga",IF(E31="","","null"),IF(OR(B$1="ga_es",B$1="ga_brp_es"),IF(AE$4=0,"",AE$4),IF(B$1="ga_brp",IF(G31="","","null"))))</f>
        <v/>
      </c>
      <c r="G31" s="31" t="str">
        <f>IF(B$1="ga",IF(E31="","","null"),IF(B$1="ga_es",IF(F31="","","null"),IF(B$1="ga_brp",IF(AF$4=0,"",AF$4),IF(F31="","",INDEX(Tabel13423232[brp_id],MATCH(F31,Tabel13423232[es_id],0),1)))))</f>
        <v/>
      </c>
      <c r="H31" s="33" t="str">
        <f t="shared" si="5"/>
        <v/>
      </c>
      <c r="I31" s="9">
        <f t="shared" si="8"/>
        <v>0</v>
      </c>
      <c r="J31" s="9">
        <f ca="1">SUMIFS(INDIRECT(ADDRESS(2,MATCH(D31,$1:$1,0),4,1)&amp;":"&amp;ADDRESS(19,MATCH(D31,$1:$1,0),4,1)),IF(OR(B$1="ga_es",B$1="ga_brp_es"),Tabel13423232[es_id],IF(B$1="ga_brp",Tabel13423232[brp_id],Tabel13423232[ga_id])),IF(OR(B$1="ga_es",B$1="ga_brp_es"),F31,IF(B$1="ga_brp",G31,E31)),IF(B$2="production",Tabel13423232[type],Tabel13423232[settlement_method]),AG$2,Tabel13423232[resolution],"PT15M")</f>
        <v>0</v>
      </c>
      <c r="K31" s="9">
        <f t="shared" si="6"/>
        <v>0</v>
      </c>
      <c r="L31" s="2"/>
      <c r="R31" s="15" t="s">
        <v>75</v>
      </c>
      <c r="S31" s="26" t="str">
        <f>_xlfn.IFNA(INDEX(Tabel13423232[ga_id],MATCH(U31,Tabel13423232[es_id],0)),"")</f>
        <v/>
      </c>
      <c r="T31" s="26" t="str">
        <f>_xlfn.IFNA(INDEX(Tabel13423232[brp_id],MATCH(U31,Tabel13423232[es_id],0)),"")</f>
        <v/>
      </c>
      <c r="U31" s="26" t="str">
        <f t="shared" ref="U31:V33" si="11">U$30</f>
        <v/>
      </c>
      <c r="V31" s="19">
        <f t="shared" si="11"/>
        <v>0</v>
      </c>
      <c r="W31" s="19">
        <f>X31+W30</f>
        <v>0</v>
      </c>
      <c r="X31" s="19">
        <f>V31-Y30</f>
        <v>0</v>
      </c>
      <c r="Y31" s="23">
        <f t="shared" si="1"/>
        <v>0</v>
      </c>
      <c r="Z31" s="24"/>
      <c r="AA31" s="27"/>
      <c r="AB31" s="2"/>
      <c r="AC31" s="2"/>
      <c r="AD31" s="36"/>
      <c r="AE31" s="36" t="str" cm="1">
        <f t="array" ref="AE31">IFERROR(IF($B$2="production",_xlfn.UNIQUE(INDEX(_xlfn._xlws.FILTER(Tabel13423232[[type]:[brp_id]],(Tabel13423232[es_id]=AE15)*(Tabel13423232[type]="E18"),""),,9)),_xlfn.UNIQUE(INDEX(_xlfn._xlws.FILTER(Tabel13423232[[type]:[brp_id]],(Tabel13423232[es_id]=AE15)*(Tabel13423232[settlement_method]=AG$2),""),,9))),"")</f>
        <v/>
      </c>
      <c r="AF31" s="36" t="str" cm="1">
        <f t="array" ref="AF31">IFERROR(IF($B$2="production",_xlfn.UNIQUE(INDEX(_xlfn._xlws.FILTER(Tabel13423232[[type]:[brp_id]],(Tabel13423232[brp_id]=AF16)*(Tabel13423232[type]=$AG$2),""),,10)),_xlfn.UNIQUE(INDEX(_xlfn._xlws.FILTER(Tabel13423232[[type]:[brp_id]],(Tabel13423232[brp_id]=AF16)*(Tabel13423232[settlement_method]=AG$2),""),,10))),"")</f>
        <v>4400000000000</v>
      </c>
      <c r="AG31" s="36"/>
      <c r="AH31" s="36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</row>
    <row r="32" spans="1:92" x14ac:dyDescent="0.25">
      <c r="B32" s="16" t="str">
        <f>IF(AND(F32&lt;&gt;"null",F32&lt;&gt;""),IF(F32=INDEX(Tabel13423232[es_id],MATCH("GLMP",Tabel13423232[note],0),1),"glmp",""),IF(AND(G32&lt;&gt;"null",G32&lt;&gt;""),IF(G32=INDEX(Tabel13423232[brp_id],MATCH("GLMP",Tabel13423232[note],0),1),"glmp",""),IF(E32=INDEX(Tabel13423232[ga_id],MATCH("GLMP",Tabel13423232[note],0),1),"glmp","")))</f>
        <v/>
      </c>
      <c r="C32" s="16" t="str">
        <f>IF(AND(F32&lt;&gt;"null",F32&lt;&gt;""),IF(F32=INDEX(Tabel13423232[es_id],MATCH("SKMP",Tabel13423232[note],0),1),"skmp",""),IF(AND(G32&lt;&gt;"null",G32&lt;&gt;""),IF(G32=INDEX(Tabel13423232[brp_id],MATCH("SKMP",Tabel13423232[note],0),1),"skmp",""),IF(E32=INDEX(Tabel13423232[ga_id],MATCH("SKMP",Tabel13423232[note],0),1),"skmp","")))</f>
        <v/>
      </c>
      <c r="D32" s="15" t="s">
        <v>76</v>
      </c>
      <c r="E32" s="31" t="str">
        <f t="shared" si="7"/>
        <v/>
      </c>
      <c r="F32" s="31" t="str">
        <f>IF(B$1="ga",IF(E32="","","null"),IF(OR(B$1="ga_es",B$1="ga_brp_es"),IF(AE$4=0,"",AE$4),IF(B$1="ga_brp",IF(G32="","","null"))))</f>
        <v/>
      </c>
      <c r="G32" s="31" t="str">
        <f>IF(B$1="ga",IF(E32="","","null"),IF(B$1="ga_es",IF(F32="","","null"),IF(B$1="ga_brp",IF(AF$4=0,"",AF$4),IF(F32="","",INDEX(Tabel13423232[brp_id],MATCH(F32,Tabel13423232[es_id],0),1)))))</f>
        <v/>
      </c>
      <c r="H32" s="33" t="str">
        <f t="shared" si="5"/>
        <v/>
      </c>
      <c r="I32" s="9">
        <f t="shared" si="8"/>
        <v>0</v>
      </c>
      <c r="J32" s="9">
        <f ca="1">SUMIFS(INDIRECT(ADDRESS(2,MATCH(D32,$1:$1,0),4,1)&amp;":"&amp;ADDRESS(19,MATCH(D32,$1:$1,0),4,1)),IF(OR(B$1="ga_es",B$1="ga_brp_es"),Tabel13423232[es_id],IF(B$1="ga_brp",Tabel13423232[brp_id],Tabel13423232[ga_id])),IF(OR(B$1="ga_es",B$1="ga_brp_es"),F32,IF(B$1="ga_brp",G32,E32)),IF(B$2="production",Tabel13423232[type],Tabel13423232[settlement_method]),AG$2,Tabel13423232[resolution],"PT15M")</f>
        <v>0</v>
      </c>
      <c r="K32" s="9">
        <f t="shared" si="6"/>
        <v>0</v>
      </c>
      <c r="L32" s="2"/>
      <c r="R32" s="15" t="s">
        <v>76</v>
      </c>
      <c r="S32" s="26" t="str">
        <f>_xlfn.IFNA(INDEX(Tabel13423232[ga_id],MATCH(U32,Tabel13423232[es_id],0)),"")</f>
        <v/>
      </c>
      <c r="T32" s="26" t="str">
        <f>_xlfn.IFNA(INDEX(Tabel13423232[brp_id],MATCH(U32,Tabel13423232[es_id],0)),"")</f>
        <v/>
      </c>
      <c r="U32" s="26" t="str">
        <f t="shared" si="11"/>
        <v/>
      </c>
      <c r="V32" s="19">
        <f t="shared" si="11"/>
        <v>0</v>
      </c>
      <c r="W32" s="19">
        <f>X32+W31</f>
        <v>0</v>
      </c>
      <c r="X32" s="19">
        <f>V32-Y31</f>
        <v>0</v>
      </c>
      <c r="Y32" s="23">
        <f t="shared" si="1"/>
        <v>0</v>
      </c>
      <c r="Z32" s="24"/>
      <c r="AA32" s="27"/>
      <c r="AB32" s="2"/>
      <c r="AC32" s="2"/>
      <c r="AD32" s="36"/>
      <c r="AE32" s="36" t="str" cm="1">
        <f t="array" ref="AE32">IFERROR(IF($B$2="production",_xlfn.UNIQUE(INDEX(_xlfn._xlws.FILTER(Tabel13423232[[type]:[brp_id]],(Tabel13423232[es_id]=AE16)*(Tabel13423232[type]="E18"),""),,9)),_xlfn.UNIQUE(INDEX(_xlfn._xlws.FILTER(Tabel13423232[[type]:[brp_id]],(Tabel13423232[es_id]=AE16)*(Tabel13423232[settlement_method]=AG$2),""),,9))),"")</f>
        <v>4000000000000</v>
      </c>
      <c r="AF32" s="36" t="str" cm="1">
        <f t="array" ref="AF32">IFERROR(IF($B$2="production",_xlfn.UNIQUE(INDEX(_xlfn._xlws.FILTER(Tabel13423232[[type]:[brp_id]],(Tabel13423232[brp_id]=AF17)*(Tabel13423232[type]=$AG$2),""),,10)),_xlfn.UNIQUE(INDEX(_xlfn._xlws.FILTER(Tabel13423232[[type]:[brp_id]],(Tabel13423232[brp_id]=AF17)*(Tabel13423232[settlement_method]=AG$2),""),,10))),"")</f>
        <v/>
      </c>
      <c r="AG32" s="36"/>
      <c r="AH32" s="36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</row>
    <row r="33" spans="1:92" x14ac:dyDescent="0.25">
      <c r="B33" s="16" t="str">
        <f>IF(AND(F33&lt;&gt;"null",F33&lt;&gt;""),IF(F33=INDEX(Tabel13423232[es_id],MATCH("GLMP",Tabel13423232[note],0),1),"glmp",""),IF(AND(G33&lt;&gt;"null",G33&lt;&gt;""),IF(G33=INDEX(Tabel13423232[brp_id],MATCH("GLMP",Tabel13423232[note],0),1),"glmp",""),IF(E33=INDEX(Tabel13423232[ga_id],MATCH("GLMP",Tabel13423232[note],0),1),"glmp","")))</f>
        <v/>
      </c>
      <c r="C33" s="16" t="str">
        <f>IF(AND(F33&lt;&gt;"null",F33&lt;&gt;""),IF(F33=INDEX(Tabel13423232[es_id],MATCH("SKMP",Tabel13423232[note],0),1),"skmp",""),IF(AND(G33&lt;&gt;"null",G33&lt;&gt;""),IF(G33=INDEX(Tabel13423232[brp_id],MATCH("SKMP",Tabel13423232[note],0),1),"skmp",""),IF(E33=INDEX(Tabel13423232[ga_id],MATCH("SKMP",Tabel13423232[note],0),1),"skmp","")))</f>
        <v/>
      </c>
      <c r="D33" s="15" t="s">
        <v>77</v>
      </c>
      <c r="E33" s="31" t="str">
        <f t="shared" si="7"/>
        <v/>
      </c>
      <c r="F33" s="31" t="str">
        <f>IF(B$1="ga",IF(E33="","","null"),IF(OR(B$1="ga_es",B$1="ga_brp_es"),IF(AE$4=0,"",AE$4),IF(B$1="ga_brp",IF(G33="","","null"))))</f>
        <v/>
      </c>
      <c r="G33" s="31" t="str">
        <f>IF(B$1="ga",IF(E33="","","null"),IF(B$1="ga_es",IF(F33="","","null"),IF(B$1="ga_brp",IF(AF$4=0,"",AF$4),IF(F33="","",INDEX(Tabel13423232[brp_id],MATCH(F33,Tabel13423232[es_id],0),1)))))</f>
        <v/>
      </c>
      <c r="H33" s="33" t="str">
        <f t="shared" si="5"/>
        <v/>
      </c>
      <c r="I33" s="9">
        <f t="shared" si="8"/>
        <v>0</v>
      </c>
      <c r="J33" s="9">
        <f ca="1">SUMIFS(INDIRECT(ADDRESS(2,MATCH(D33,$1:$1,0),4,1)&amp;":"&amp;ADDRESS(19,MATCH(D33,$1:$1,0),4,1)),IF(OR(B$1="ga_es",B$1="ga_brp_es"),Tabel13423232[es_id],IF(B$1="ga_brp",Tabel13423232[brp_id],Tabel13423232[ga_id])),IF(OR(B$1="ga_es",B$1="ga_brp_es"),F33,IF(B$1="ga_brp",G33,E33)),IF(B$2="production",Tabel13423232[type],Tabel13423232[settlement_method]),AG$2,Tabel13423232[resolution],"PT15M")</f>
        <v>0</v>
      </c>
      <c r="K33" s="9">
        <f t="shared" si="6"/>
        <v>0</v>
      </c>
      <c r="L33" s="2"/>
      <c r="R33" s="15" t="s">
        <v>77</v>
      </c>
      <c r="S33" s="26" t="str">
        <f>_xlfn.IFNA(INDEX(Tabel13423232[ga_id],MATCH(U33,Tabel13423232[es_id],0)),"")</f>
        <v/>
      </c>
      <c r="T33" s="26" t="str">
        <f>_xlfn.IFNA(INDEX(Tabel13423232[brp_id],MATCH(U33,Tabel13423232[es_id],0)),"")</f>
        <v/>
      </c>
      <c r="U33" s="26" t="str">
        <f t="shared" si="11"/>
        <v/>
      </c>
      <c r="V33" s="19">
        <f t="shared" si="11"/>
        <v>0</v>
      </c>
      <c r="W33" s="19">
        <f>X33+W32</f>
        <v>0</v>
      </c>
      <c r="X33" s="19">
        <f>V33-Y32</f>
        <v>0</v>
      </c>
      <c r="Y33" s="23">
        <f t="shared" si="1"/>
        <v>0</v>
      </c>
      <c r="Z33" s="24"/>
      <c r="AA33" s="27"/>
      <c r="AB33" s="2"/>
      <c r="AC33" s="2"/>
      <c r="AD33" s="36"/>
      <c r="AE33" s="36" t="str" cm="1">
        <f t="array" ref="AE33">IFERROR(IF($B$2="production",_xlfn.UNIQUE(INDEX(_xlfn._xlws.FILTER(Tabel13423232[[type]:[brp_id]],(Tabel13423232[es_id]=AE17)*(Tabel13423232[type]="E18"),""),,9)),_xlfn.UNIQUE(INDEX(_xlfn._xlws.FILTER(Tabel13423232[[type]:[brp_id]],(Tabel13423232[es_id]=AE17)*(Tabel13423232[settlement_method]=AG$2),""),,9))),"")</f>
        <v/>
      </c>
      <c r="AF33" s="36" t="str" cm="1">
        <f t="array" ref="AF33">IFERROR(IF($B$2="production",_xlfn.UNIQUE(INDEX(_xlfn._xlws.FILTER(Tabel13423232[[type]:[brp_id]],(Tabel13423232[brp_id]=AF18)*(Tabel13423232[type]=$AG$2),""),,10)),_xlfn.UNIQUE(INDEX(_xlfn._xlws.FILTER(Tabel13423232[[type]:[brp_id]],(Tabel13423232[brp_id]=AF18)*(Tabel13423232[settlement_method]=AG$2),""),,10))),"")</f>
        <v/>
      </c>
      <c r="AG33" s="36"/>
      <c r="AH33" s="36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spans="1:92" x14ac:dyDescent="0.25">
      <c r="B34" s="16" t="str">
        <f>IF(AND(F34&lt;&gt;"null",F34&lt;&gt;""),IF(F34=INDEX(Tabel13423232[es_id],MATCH("GLMP",Tabel13423232[note],0),1),"glmp",""),IF(AND(G34&lt;&gt;"null",G34&lt;&gt;""),IF(G34=INDEX(Tabel13423232[brp_id],MATCH("GLMP",Tabel13423232[note],0),1),"glmp",""),IF(E34=INDEX(Tabel13423232[ga_id],MATCH("GLMP",Tabel13423232[note],0),1),"glmp","")))</f>
        <v/>
      </c>
      <c r="C34" s="16" t="str">
        <f>IF(AND(F34&lt;&gt;"null",F34&lt;&gt;""),IF(F34=INDEX(Tabel13423232[es_id],MATCH("SKMP",Tabel13423232[note],0),1),"skmp",""),IF(AND(G34&lt;&gt;"null",G34&lt;&gt;""),IF(G34=INDEX(Tabel13423232[brp_id],MATCH("SKMP",Tabel13423232[note],0),1),"skmp",""),IF(E34=INDEX(Tabel13423232[ga_id],MATCH("SKMP",Tabel13423232[note],0),1),"skmp","")))</f>
        <v/>
      </c>
      <c r="D34" s="15" t="s">
        <v>74</v>
      </c>
      <c r="E34" s="31" t="str">
        <f t="shared" si="7"/>
        <v/>
      </c>
      <c r="F34" s="31" t="str">
        <f>IF(B$1="ga",IF(E34="","","null"),IF(OR(B$1="ga_es",B$1="ga_brp_es"),IF(AE$5=0,"",AE$5),IF(B$1="ga_brp",IF(G34="","","null"))))</f>
        <v/>
      </c>
      <c r="G34" s="31" t="str">
        <f>IF(B$1="ga",IF(E34="","","null"),IF(B$1="ga_es",IF(F34="","","null"),IF(B$1="ga_brp",IF(AF$5=0,"",AF$5),IF(F34="","",INDEX(Tabel13423232[brp_id],MATCH(F34,Tabel13423232[es_id],0),1)))))</f>
        <v/>
      </c>
      <c r="H34" s="33" t="str">
        <f t="shared" si="5"/>
        <v/>
      </c>
      <c r="I34" s="9">
        <f t="shared" si="8"/>
        <v>0</v>
      </c>
      <c r="J34" s="9">
        <f ca="1">SUMIFS(INDIRECT(ADDRESS(2,MATCH(D34,$1:$1,0),4,1)&amp;":"&amp;ADDRESS(19,MATCH(D34,$1:$1,0),4,1)),IF(OR(B$1="ga_es",B$1="ga_brp_es"),Tabel13423232[es_id],IF(B$1="ga_brp",Tabel13423232[brp_id],Tabel13423232[ga_id])),IF(OR(B$1="ga_es",B$1="ga_brp_es"),F34,IF(B$1="ga_brp",G34,E34)),IF(B$2="production",Tabel13423232[type],Tabel13423232[settlement_method]),AG$2,Tabel13423232[resolution],"PT15M")</f>
        <v>0</v>
      </c>
      <c r="K34" s="9">
        <f t="shared" si="6"/>
        <v>0</v>
      </c>
      <c r="L34" s="2"/>
      <c r="R34" s="24"/>
      <c r="S34" s="24"/>
      <c r="T34" s="24"/>
      <c r="U34" s="24"/>
      <c r="V34" s="24"/>
      <c r="W34" s="24"/>
      <c r="X34" s="24"/>
      <c r="Y34" s="24"/>
      <c r="Z34" s="24"/>
      <c r="AA34" s="27"/>
      <c r="AB34" s="2"/>
      <c r="AC34" s="2"/>
      <c r="AD34" s="36"/>
      <c r="AE34" s="36" t="str" cm="1">
        <f t="array" ref="AE34">IFERROR(IF($B$2="production",_xlfn.UNIQUE(INDEX(_xlfn._xlws.FILTER(Tabel13423232[[type]:[brp_id]],(Tabel13423232[es_id]=AE18)*(Tabel13423232[type]="E18"),""),,9)),_xlfn.UNIQUE(INDEX(_xlfn._xlws.FILTER(Tabel13423232[[type]:[brp_id]],(Tabel13423232[es_id]=AE18)*(Tabel13423232[settlement_method]=AG$2),""),,9))),"")</f>
        <v/>
      </c>
      <c r="AF34" s="36" t="str" cm="1">
        <f t="array" ref="AF34">IFERROR(IF($B$2="production",_xlfn.UNIQUE(INDEX(_xlfn._xlws.FILTER(Tabel13423232[[type]:[brp_id]],(Tabel13423232[brp_id]=AF19)*(Tabel13423232[type]=$AG$2),""),,10)),_xlfn.UNIQUE(INDEX(_xlfn._xlws.FILTER(Tabel13423232[[type]:[brp_id]],(Tabel13423232[brp_id]=AF19)*(Tabel13423232[settlement_method]=AG$2),""),,10))),"")</f>
        <v/>
      </c>
      <c r="AG34" s="36"/>
      <c r="AH34" s="3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</row>
    <row r="35" spans="1:92" x14ac:dyDescent="0.25">
      <c r="B35" s="16" t="str">
        <f>IF(AND(F35&lt;&gt;"null",F35&lt;&gt;""),IF(F35=INDEX(Tabel13423232[es_id],MATCH("GLMP",Tabel13423232[note],0),1),"glmp",""),IF(AND(G35&lt;&gt;"null",G35&lt;&gt;""),IF(G35=INDEX(Tabel13423232[brp_id],MATCH("GLMP",Tabel13423232[note],0),1),"glmp",""),IF(E35=INDEX(Tabel13423232[ga_id],MATCH("GLMP",Tabel13423232[note],0),1),"glmp","")))</f>
        <v/>
      </c>
      <c r="C35" s="16" t="str">
        <f>IF(AND(F35&lt;&gt;"null",F35&lt;&gt;""),IF(F35=INDEX(Tabel13423232[es_id],MATCH("SKMP",Tabel13423232[note],0),1),"skmp",""),IF(AND(G35&lt;&gt;"null",G35&lt;&gt;""),IF(G35=INDEX(Tabel13423232[brp_id],MATCH("SKMP",Tabel13423232[note],0),1),"skmp",""),IF(E35=INDEX(Tabel13423232[ga_id],MATCH("SKMP",Tabel13423232[note],0),1),"skmp","")))</f>
        <v/>
      </c>
      <c r="D35" s="15" t="s">
        <v>75</v>
      </c>
      <c r="E35" s="31" t="str">
        <f t="shared" si="7"/>
        <v/>
      </c>
      <c r="F35" s="31" t="str">
        <f>IF(B$1="ga",IF(E35="","","null"),IF(OR(B$1="ga_es",B$1="ga_brp_es"),IF(AE$5=0,"",AE$5),IF(B$1="ga_brp",IF(G35="","","null"))))</f>
        <v/>
      </c>
      <c r="G35" s="31" t="str">
        <f>IF(B$1="ga",IF(E35="","","null"),IF(B$1="ga_es",IF(F35="","","null"),IF(B$1="ga_brp",IF(AF$5=0,"",AF$5),IF(F35="","",INDEX(Tabel13423232[brp_id],MATCH(F35,Tabel13423232[es_id],0),1)))))</f>
        <v/>
      </c>
      <c r="H35" s="33" t="str">
        <f t="shared" si="5"/>
        <v/>
      </c>
      <c r="I35" s="9">
        <f t="shared" si="8"/>
        <v>0</v>
      </c>
      <c r="J35" s="9">
        <f ca="1">SUMIFS(INDIRECT(ADDRESS(2,MATCH(D35,$1:$1,0),4,1)&amp;":"&amp;ADDRESS(19,MATCH(D35,$1:$1,0),4,1)),IF(OR(B$1="ga_es",B$1="ga_brp_es"),Tabel13423232[es_id],IF(B$1="ga_brp",Tabel13423232[brp_id],Tabel13423232[ga_id])),IF(OR(B$1="ga_es",B$1="ga_brp_es"),F35,IF(B$1="ga_brp",G35,E35)),IF(B$2="production",Tabel13423232[type],Tabel13423232[settlement_method]),AG$2,Tabel13423232[resolution],"PT15M")</f>
        <v>0</v>
      </c>
      <c r="K35" s="9">
        <f t="shared" si="6"/>
        <v>0</v>
      </c>
      <c r="L35" s="2"/>
      <c r="R35" s="24"/>
      <c r="S35" s="24"/>
      <c r="T35" s="24"/>
      <c r="U35" s="24"/>
      <c r="V35" s="28">
        <f>SUMIFS(Tabel13423232[TotalHour],Tabel13423232[settlement_method],"D01",Tabel13423232[resolution],"PT1H")</f>
        <v>4.0110000000000001</v>
      </c>
      <c r="W35" s="16" t="s">
        <v>49</v>
      </c>
      <c r="X35" s="16"/>
      <c r="Y35" s="28">
        <f>SUM(Y37:Y40)</f>
        <v>4.0110000000000001</v>
      </c>
      <c r="Z35" s="21">
        <f>SUM(Z37:Z40)</f>
        <v>4.0119999999999996</v>
      </c>
      <c r="AA35" s="27"/>
      <c r="AB35" s="2"/>
      <c r="AC35" s="2"/>
      <c r="AD35" s="36"/>
      <c r="AE35" s="36" t="str" cm="1">
        <f t="array" ref="AE35">IFERROR(IF($B$2="production",_xlfn.UNIQUE(INDEX(_xlfn._xlws.FILTER(Tabel13423232[[type]:[brp_id]],(Tabel13423232[es_id]=AE19)*(Tabel13423232[type]="E18"),""),,9)),_xlfn.UNIQUE(INDEX(_xlfn._xlws.FILTER(Tabel13423232[[type]:[brp_id]],(Tabel13423232[es_id]=AE19)*(Tabel13423232[settlement_method]=AG$2),""),,9))),"")</f>
        <v/>
      </c>
      <c r="AF35" s="36" t="str" cm="1">
        <f t="array" ref="AF35">IFERROR(IF($B$2="production",_xlfn.UNIQUE(INDEX(_xlfn._xlws.FILTER(Tabel13423232[[type]:[brp_id]],(Tabel13423232[brp_id]=AF20)*(Tabel13423232[type]=$AG$2),""),,10)),_xlfn.UNIQUE(INDEX(_xlfn._xlws.FILTER(Tabel13423232[[type]:[brp_id]],(Tabel13423232[brp_id]=AF20)*(Tabel13423232[settlement_method]=AG$2),""),,10))),"")</f>
        <v/>
      </c>
      <c r="AG35" s="36"/>
      <c r="AH35" s="36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</row>
    <row r="36" spans="1:92" x14ac:dyDescent="0.25">
      <c r="B36" s="16" t="str">
        <f>IF(AND(F36&lt;&gt;"null",F36&lt;&gt;""),IF(F36=INDEX(Tabel13423232[es_id],MATCH("GLMP",Tabel13423232[note],0),1),"glmp",""),IF(AND(G36&lt;&gt;"null",G36&lt;&gt;""),IF(G36=INDEX(Tabel13423232[brp_id],MATCH("GLMP",Tabel13423232[note],0),1),"glmp",""),IF(E36=INDEX(Tabel13423232[ga_id],MATCH("GLMP",Tabel13423232[note],0),1),"glmp","")))</f>
        <v/>
      </c>
      <c r="C36" s="16" t="str">
        <f>IF(AND(F36&lt;&gt;"null",F36&lt;&gt;""),IF(F36=INDEX(Tabel13423232[es_id],MATCH("SKMP",Tabel13423232[note],0),1),"skmp",""),IF(AND(G36&lt;&gt;"null",G36&lt;&gt;""),IF(G36=INDEX(Tabel13423232[brp_id],MATCH("SKMP",Tabel13423232[note],0),1),"skmp",""),IF(E36=INDEX(Tabel13423232[ga_id],MATCH("SKMP",Tabel13423232[note],0),1),"skmp","")))</f>
        <v/>
      </c>
      <c r="D36" s="15" t="s">
        <v>76</v>
      </c>
      <c r="E36" s="31" t="str">
        <f t="shared" si="7"/>
        <v/>
      </c>
      <c r="F36" s="31" t="str">
        <f>IF(B$1="ga",IF(E36="","","null"),IF(OR(B$1="ga_es",B$1="ga_brp_es"),IF(AE$5=0,"",AE$5),IF(B$1="ga_brp",IF(G36="","","null"))))</f>
        <v/>
      </c>
      <c r="G36" s="31" t="str">
        <f>IF(B$1="ga",IF(E36="","","null"),IF(B$1="ga_es",IF(F36="","","null"),IF(B$1="ga_brp",IF(AF$5=0,"",AF$5),IF(F36="","",INDEX(Tabel13423232[brp_id],MATCH(F36,Tabel13423232[es_id],0),1)))))</f>
        <v/>
      </c>
      <c r="H36" s="33" t="str">
        <f t="shared" si="5"/>
        <v/>
      </c>
      <c r="I36" s="9">
        <f t="shared" si="8"/>
        <v>0</v>
      </c>
      <c r="J36" s="9">
        <f ca="1">SUMIFS(INDIRECT(ADDRESS(2,MATCH(D36,$1:$1,0),4,1)&amp;":"&amp;ADDRESS(19,MATCH(D36,$1:$1,0),4,1)),IF(OR(B$1="ga_es",B$1="ga_brp_es"),Tabel13423232[es_id],IF(B$1="ga_brp",Tabel13423232[brp_id],Tabel13423232[ga_id])),IF(OR(B$1="ga_es",B$1="ga_brp_es"),F36,IF(B$1="ga_brp",G36,E36)),IF(B$2="production",Tabel13423232[type],Tabel13423232[settlement_method]),AG$2,Tabel13423232[resolution],"PT15M")</f>
        <v>0</v>
      </c>
      <c r="K36" s="9">
        <f t="shared" si="6"/>
        <v>0</v>
      </c>
      <c r="L36" s="2"/>
      <c r="R36" s="24"/>
      <c r="S36" s="24"/>
      <c r="T36" s="24"/>
      <c r="U36" s="7" t="s">
        <v>43</v>
      </c>
      <c r="V36" s="20">
        <f>SUMIFS(Tabel13423232[TotalHour],Tabel13423232[settlement_method],"D01",Tabel13423232[resolution],"PT1H")/4</f>
        <v>1.00275</v>
      </c>
      <c r="W36" s="7" t="s">
        <v>45</v>
      </c>
      <c r="X36" s="7" t="s">
        <v>46</v>
      </c>
      <c r="Y36" s="7" t="s">
        <v>47</v>
      </c>
      <c r="Z36" s="7" t="s">
        <v>48</v>
      </c>
      <c r="AA36" s="27"/>
      <c r="AB36" s="2"/>
      <c r="AC36" s="2"/>
      <c r="AD36" s="36"/>
      <c r="AE36" s="36" t="str" cm="1">
        <f t="array" ref="AE36">IFERROR(IF($B$2="production",_xlfn.UNIQUE(INDEX(_xlfn._xlws.FILTER(Tabel13423232[[type]:[brp_id]],(Tabel13423232[es_id]=AE20)*(Tabel13423232[type]="E18"),""),,9)),_xlfn.UNIQUE(INDEX(_xlfn._xlws.FILTER(Tabel13423232[[type]:[brp_id]],(Tabel13423232[es_id]=AE20)*(Tabel13423232[settlement_method]=AG$2),""),,9))),"")</f>
        <v/>
      </c>
      <c r="AF36" s="36" t="str" cm="1">
        <f t="array" ref="AF36">IFERROR(IF($B$2="production",_xlfn.UNIQUE(INDEX(_xlfn._xlws.FILTER(Tabel13423232[[type]:[brp_id]],(Tabel13423232[brp_id]=AF21)*(Tabel13423232[type]=$AG$2),""),,10)),_xlfn.UNIQUE(INDEX(_xlfn._xlws.FILTER(Tabel13423232[[type]:[brp_id]],(Tabel13423232[brp_id]=AF21)*(Tabel13423232[settlement_method]=AG$2),""),,10))),"")</f>
        <v/>
      </c>
      <c r="AG36" s="36"/>
      <c r="AH36" s="36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spans="1:92" x14ac:dyDescent="0.25">
      <c r="B37" s="16" t="str">
        <f>IF(AND(F37&lt;&gt;"null",F37&lt;&gt;""),IF(F37=INDEX(Tabel13423232[es_id],MATCH("GLMP",Tabel13423232[note],0),1),"glmp",""),IF(AND(G37&lt;&gt;"null",G37&lt;&gt;""),IF(G37=INDEX(Tabel13423232[brp_id],MATCH("GLMP",Tabel13423232[note],0),1),"glmp",""),IF(E37=INDEX(Tabel13423232[ga_id],MATCH("GLMP",Tabel13423232[note],0),1),"glmp","")))</f>
        <v/>
      </c>
      <c r="C37" s="16" t="str">
        <f>IF(AND(F37&lt;&gt;"null",F37&lt;&gt;""),IF(F37=INDEX(Tabel13423232[es_id],MATCH("SKMP",Tabel13423232[note],0),1),"skmp",""),IF(AND(G37&lt;&gt;"null",G37&lt;&gt;""),IF(G37=INDEX(Tabel13423232[brp_id],MATCH("SKMP",Tabel13423232[note],0),1),"skmp",""),IF(E37=INDEX(Tabel13423232[ga_id],MATCH("SKMP",Tabel13423232[note],0),1),"skmp","")))</f>
        <v/>
      </c>
      <c r="D37" s="15" t="s">
        <v>77</v>
      </c>
      <c r="E37" s="31" t="str">
        <f t="shared" si="7"/>
        <v/>
      </c>
      <c r="F37" s="31" t="str">
        <f>IF(B$1="ga",IF(E37="","","null"),IF(OR(B$1="ga_es",B$1="ga_brp_es"),IF(AE$5=0,"",AE$5),IF(B$1="ga_brp",IF(G37="","","null"))))</f>
        <v/>
      </c>
      <c r="G37" s="31" t="str">
        <f>IF(B$1="ga",IF(E37="","","null"),IF(B$1="ga_es",IF(F37="","","null"),IF(B$1="ga_brp",IF(AF$5=0,"",AF$5),IF(F37="","",INDEX(Tabel13423232[brp_id],MATCH(F37,Tabel13423232[es_id],0),1)))))</f>
        <v/>
      </c>
      <c r="H37" s="33" t="str">
        <f t="shared" si="5"/>
        <v/>
      </c>
      <c r="I37" s="9">
        <f t="shared" si="8"/>
        <v>0</v>
      </c>
      <c r="J37" s="9">
        <f ca="1">SUMIFS(INDIRECT(ADDRESS(2,MATCH(D37,$1:$1,0),4,1)&amp;":"&amp;ADDRESS(19,MATCH(D37,$1:$1,0),4,1)),IF(OR(B$1="ga_es",B$1="ga_brp_es"),Tabel13423232[es_id],IF(B$1="ga_brp",Tabel13423232[brp_id],Tabel13423232[ga_id])),IF(OR(B$1="ga_es",B$1="ga_brp_es"),F37,IF(B$1="ga_brp",G37,E37)),IF(B$2="production",Tabel13423232[type],Tabel13423232[settlement_method]),AG$2,Tabel13423232[resolution],"PT15M")</f>
        <v>0</v>
      </c>
      <c r="K37" s="9">
        <f t="shared" si="6"/>
        <v>0</v>
      </c>
      <c r="L37" s="2"/>
      <c r="R37" s="24"/>
      <c r="S37" s="24"/>
      <c r="T37" s="24"/>
      <c r="U37" s="15" t="s">
        <v>54</v>
      </c>
      <c r="V37" s="19">
        <f>V$36</f>
        <v>1.00275</v>
      </c>
      <c r="W37" s="19">
        <f>V37</f>
        <v>1.00275</v>
      </c>
      <c r="X37" s="19"/>
      <c r="Y37" s="23">
        <f>ROUND(W37, 3)</f>
        <v>1.0029999999999999</v>
      </c>
      <c r="Z37" s="23">
        <f>ROUND(V37,3)</f>
        <v>1.0029999999999999</v>
      </c>
      <c r="AA37" s="27"/>
      <c r="AB37" s="2"/>
      <c r="AC37" s="2"/>
      <c r="AD37" s="36"/>
      <c r="AE37" s="36" t="str" cm="1">
        <f t="array" ref="AE37">IFERROR(IF($B$2="production",_xlfn.UNIQUE(INDEX(_xlfn._xlws.FILTER(Tabel13423232[[type]:[brp_id]],(Tabel13423232[es_id]=AE21)*(Tabel13423232[type]="E18"),""),,9)),_xlfn.UNIQUE(INDEX(_xlfn._xlws.FILTER(Tabel13423232[[type]:[brp_id]],(Tabel13423232[es_id]=AE21)*(Tabel13423232[settlement_method]=AG$2),""),,9))),"")</f>
        <v/>
      </c>
      <c r="AF37" s="36" t="str" cm="1">
        <f t="array" ref="AF37">IFERROR(IF($B$2="production",_xlfn.UNIQUE(INDEX(_xlfn._xlws.FILTER(Tabel13423232[[type]:[brp_id]],(Tabel13423232[brp_id]=AF22)*(Tabel13423232[type]=$AG$2),""),,10)),_xlfn.UNIQUE(INDEX(_xlfn._xlws.FILTER(Tabel13423232[[type]:[brp_id]],(Tabel13423232[brp_id]=AF22)*(Tabel13423232[settlement_method]=AG$2),""),,10))),"")</f>
        <v/>
      </c>
      <c r="AG37" s="36"/>
      <c r="AH37" s="36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spans="1:92" x14ac:dyDescent="0.25">
      <c r="B38" s="16" t="str">
        <f>IF(AND(F38&lt;&gt;"null",F38&lt;&gt;""),IF(F38=INDEX(Tabel13423232[es_id],MATCH("GLMP",Tabel13423232[note],0),1),"glmp",""),IF(AND(G38&lt;&gt;"null",G38&lt;&gt;""),IF(G38=INDEX(Tabel13423232[brp_id],MATCH("GLMP",Tabel13423232[note],0),1),"glmp",""),IF(E38=INDEX(Tabel13423232[ga_id],MATCH("GLMP",Tabel13423232[note],0),1),"glmp","")))</f>
        <v/>
      </c>
      <c r="C38" s="16" t="str">
        <f>IF(AND(F38&lt;&gt;"null",F38&lt;&gt;""),IF(F38=INDEX(Tabel13423232[es_id],MATCH("SKMP",Tabel13423232[note],0),1),"skmp",""),IF(AND(G38&lt;&gt;"null",G38&lt;&gt;""),IF(G38=INDEX(Tabel13423232[brp_id],MATCH("SKMP",Tabel13423232[note],0),1),"skmp",""),IF(E38=INDEX(Tabel13423232[ga_id],MATCH("SKMP",Tabel13423232[note],0),1),"skmp","")))</f>
        <v/>
      </c>
      <c r="D38" s="15" t="s">
        <v>74</v>
      </c>
      <c r="E38" s="31" t="str">
        <f t="shared" si="7"/>
        <v/>
      </c>
      <c r="F38" s="31" t="str">
        <f>IF(B$1="ga",IF(E38="","","null"),IF(OR(B$1="ga_es",B$1="ga_brp_es"),IF(AE$6=0,"",AE$5),IF(B$1="ga_brp",IF(G38="","","null"))))</f>
        <v/>
      </c>
      <c r="G38" s="31" t="str">
        <f>IF(B$1="ga",IF(E38="","","null"),IF(B$1="ga_es",IF(F38="","","null"),IF(B$1="ga_brp",IF(AF$5=0,"",AF$5),IF(F38="","",INDEX(Tabel13423232[brp_id],MATCH(F38,Tabel13423232[es_id],0),1)))))</f>
        <v/>
      </c>
      <c r="H38" s="33" t="str">
        <f t="shared" si="5"/>
        <v/>
      </c>
      <c r="I38" s="9">
        <f t="shared" si="8"/>
        <v>0</v>
      </c>
      <c r="J38" s="9">
        <f ca="1">SUMIFS(INDIRECT(ADDRESS(2,MATCH(D38,$1:$1,0),4,1)&amp;":"&amp;ADDRESS(19,MATCH(D38,$1:$1,0),4,1)),IF(OR(B$1="ga_es",B$1="ga_brp_es"),Tabel13423232[es_id],IF(B$1="ga_brp",Tabel13423232[brp_id],Tabel13423232[ga_id])),IF(OR(B$1="ga_es",B$1="ga_brp_es"),F38,IF(B$1="ga_brp",G38,E38)),IF(B$2="production",Tabel13423232[type],Tabel13423232[settlement_method]),AG$2,Tabel13423232[resolution],"PT15M")</f>
        <v>0</v>
      </c>
      <c r="K38" s="9">
        <f t="shared" si="6"/>
        <v>0</v>
      </c>
      <c r="L38" s="2"/>
      <c r="R38" s="24"/>
      <c r="S38" s="24"/>
      <c r="T38" s="24"/>
      <c r="U38" s="15" t="s">
        <v>55</v>
      </c>
      <c r="V38" s="19">
        <f>V$36</f>
        <v>1.00275</v>
      </c>
      <c r="W38" s="19">
        <f>X38+W37</f>
        <v>1.0025000000000002</v>
      </c>
      <c r="X38" s="19">
        <f>V38-Y37</f>
        <v>-2.4999999999986144E-4</v>
      </c>
      <c r="Y38" s="23">
        <f>ROUND(W38, 3)</f>
        <v>1.0029999999999999</v>
      </c>
      <c r="Z38" s="23">
        <f>ROUND(V38,3)</f>
        <v>1.0029999999999999</v>
      </c>
      <c r="AA38" s="27"/>
      <c r="AB38" s="2"/>
      <c r="AC38" s="2"/>
      <c r="AD38" s="36"/>
      <c r="AE38" s="36" t="str" cm="1">
        <f t="array" ref="AE38">IFERROR(IF($B$2="production",_xlfn.UNIQUE(INDEX(_xlfn._xlws.FILTER(Tabel13423232[[type]:[brp_id]],(Tabel13423232[es_id]=AE22)*(Tabel13423232[type]="E18"),""),,9)),_xlfn.UNIQUE(INDEX(_xlfn._xlws.FILTER(Tabel13423232[[type]:[brp_id]],(Tabel13423232[es_id]=AE22)*(Tabel13423232[settlement_method]=AG$2),""),,9))),"")</f>
        <v/>
      </c>
      <c r="AF38" s="36" t="str" cm="1">
        <f t="array" ref="AF38">IFERROR(IF($B$2="production",_xlfn.UNIQUE(INDEX(_xlfn._xlws.FILTER(Tabel13423232[[type]:[brp_id]],(Tabel13423232[brp_id]=AF23)*(Tabel13423232[type]=$AG$2),""),,10)),_xlfn.UNIQUE(INDEX(_xlfn._xlws.FILTER(Tabel13423232[[type]:[brp_id]],(Tabel13423232[brp_id]=AF23)*(Tabel13423232[settlement_method]=AG$2),""),,10))),"")</f>
        <v/>
      </c>
      <c r="AG38" s="36"/>
      <c r="AH38" s="3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spans="1:92" x14ac:dyDescent="0.25">
      <c r="B39" s="16" t="str">
        <f>IF(AND(F39&lt;&gt;"null",F39&lt;&gt;""),IF(F39=INDEX(Tabel13423232[es_id],MATCH("GLMP",Tabel13423232[note],0),1),"glmp",""),IF(AND(G39&lt;&gt;"null",G39&lt;&gt;""),IF(G39=INDEX(Tabel13423232[brp_id],MATCH("GLMP",Tabel13423232[note],0),1),"glmp",""),IF(E39=INDEX(Tabel13423232[ga_id],MATCH("GLMP",Tabel13423232[note],0),1),"glmp","")))</f>
        <v/>
      </c>
      <c r="C39" s="16" t="str">
        <f>IF(AND(F39&lt;&gt;"null",F39&lt;&gt;""),IF(F39=INDEX(Tabel13423232[es_id],MATCH("SKMP",Tabel13423232[note],0),1),"skmp",""),IF(AND(G39&lt;&gt;"null",G39&lt;&gt;""),IF(G39=INDEX(Tabel13423232[brp_id],MATCH("SKMP",Tabel13423232[note],0),1),"skmp",""),IF(E39=INDEX(Tabel13423232[ga_id],MATCH("SKMP",Tabel13423232[note],0),1),"skmp","")))</f>
        <v/>
      </c>
      <c r="D39" s="15" t="s">
        <v>75</v>
      </c>
      <c r="E39" s="31" t="str">
        <f t="shared" si="7"/>
        <v/>
      </c>
      <c r="F39" s="31" t="str">
        <f>IF(B$1="ga",IF(E39="","","null"),IF(OR(B$1="ga_es",B$1="ga_brp_es"),IF(AE$6=0,"",AE$5),IF(B$1="ga_brp",IF(G39="","","null"))))</f>
        <v/>
      </c>
      <c r="G39" s="31" t="str">
        <f>IF(B$1="ga",IF(E39="","","null"),IF(B$1="ga_es",IF(F39="","","null"),IF(B$1="ga_brp",IF(AF$5=0,"",AF$5),IF(F39="","",INDEX(Tabel13423232[brp_id],MATCH(F39,Tabel13423232[es_id],0),1)))))</f>
        <v/>
      </c>
      <c r="H39" s="33" t="str">
        <f t="shared" si="5"/>
        <v/>
      </c>
      <c r="I39" s="9">
        <f t="shared" si="8"/>
        <v>0</v>
      </c>
      <c r="J39" s="9">
        <f ca="1">SUMIFS(INDIRECT(ADDRESS(2,MATCH(D39,$1:$1,0),4,1)&amp;":"&amp;ADDRESS(19,MATCH(D39,$1:$1,0),4,1)),IF(OR(B$1="ga_es",B$1="ga_brp_es"),Tabel13423232[es_id],IF(B$1="ga_brp",Tabel13423232[brp_id],Tabel13423232[ga_id])),IF(OR(B$1="ga_es",B$1="ga_brp_es"),F39,IF(B$1="ga_brp",G39,E39)),IF(B$2="production",Tabel13423232[type],Tabel13423232[settlement_method]),AG$2,Tabel13423232[resolution],"PT15M")</f>
        <v>0</v>
      </c>
      <c r="K39" s="9">
        <f t="shared" si="6"/>
        <v>0</v>
      </c>
      <c r="L39" s="2"/>
      <c r="R39" s="24"/>
      <c r="S39" s="24"/>
      <c r="T39" s="24"/>
      <c r="U39" s="15" t="s">
        <v>56</v>
      </c>
      <c r="V39" s="19">
        <f>V$36</f>
        <v>1.00275</v>
      </c>
      <c r="W39" s="19">
        <f>X39+W38</f>
        <v>1.0022500000000003</v>
      </c>
      <c r="X39" s="19">
        <f>V39-Y38</f>
        <v>-2.4999999999986144E-4</v>
      </c>
      <c r="Y39" s="23">
        <f>ROUND(W39, 3)</f>
        <v>1.002</v>
      </c>
      <c r="Z39" s="23">
        <f>ROUND(V39,3)</f>
        <v>1.0029999999999999</v>
      </c>
      <c r="AA39" s="27"/>
      <c r="AB39" s="2"/>
      <c r="AC39" s="2"/>
      <c r="AD39" s="36"/>
      <c r="AE39" s="36" t="str" cm="1">
        <f t="array" ref="AE39">IFERROR(IF($B$2="production",_xlfn.UNIQUE(INDEX(_xlfn._xlws.FILTER(Tabel13423232[[type]:[brp_id]],(Tabel13423232[es_id]=AE23)*(Tabel13423232[type]="E18"),""),,9)),_xlfn.UNIQUE(INDEX(_xlfn._xlws.FILTER(Tabel13423232[[type]:[brp_id]],(Tabel13423232[es_id]=AE23)*(Tabel13423232[settlement_method]=AG$2),""),,9))),"")</f>
        <v/>
      </c>
      <c r="AF39" s="36" t="str" cm="1">
        <f t="array" ref="AF39">IFERROR(IF($B$2="production",_xlfn.UNIQUE(INDEX(_xlfn._xlws.FILTER(Tabel13423232[[type]:[brp_id]],(Tabel13423232[brp_id]=AF24)*(Tabel13423232[type]=$AG$2),""),,10)),_xlfn.UNIQUE(INDEX(_xlfn._xlws.FILTER(Tabel13423232[[type]:[brp_id]],(Tabel13423232[brp_id]=AF24)*(Tabel13423232[settlement_method]=AG$2),""),,10))),"")</f>
        <v/>
      </c>
      <c r="AG39" s="36"/>
      <c r="AH39" s="36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spans="1:92" x14ac:dyDescent="0.25">
      <c r="B40" s="16" t="str">
        <f>IF(AND(F40&lt;&gt;"null",F40&lt;&gt;""),IF(F40=INDEX(Tabel13423232[es_id],MATCH("GLMP",Tabel13423232[note],0),1),"glmp",""),IF(AND(G40&lt;&gt;"null",G40&lt;&gt;""),IF(G40=INDEX(Tabel13423232[brp_id],MATCH("GLMP",Tabel13423232[note],0),1),"glmp",""),IF(E40=INDEX(Tabel13423232[ga_id],MATCH("GLMP",Tabel13423232[note],0),1),"glmp","")))</f>
        <v/>
      </c>
      <c r="C40" s="16" t="str">
        <f>IF(AND(F40&lt;&gt;"null",F40&lt;&gt;""),IF(F40=INDEX(Tabel13423232[es_id],MATCH("SKMP",Tabel13423232[note],0),1),"skmp",""),IF(AND(G40&lt;&gt;"null",G40&lt;&gt;""),IF(G40=INDEX(Tabel13423232[brp_id],MATCH("SKMP",Tabel13423232[note],0),1),"skmp",""),IF(E40=INDEX(Tabel13423232[ga_id],MATCH("SKMP",Tabel13423232[note],0),1),"skmp","")))</f>
        <v/>
      </c>
      <c r="D40" s="15" t="s">
        <v>76</v>
      </c>
      <c r="E40" s="31" t="str">
        <f t="shared" si="7"/>
        <v/>
      </c>
      <c r="F40" s="31" t="str">
        <f>IF(B$1="ga",IF(E40="","","null"),IF(OR(B$1="ga_es",B$1="ga_brp_es"),IF(AE$6=0,"",AE$5),IF(B$1="ga_brp",IF(G40="","","null"))))</f>
        <v/>
      </c>
      <c r="G40" s="31" t="str">
        <f>IF(B$1="ga",IF(E40="","","null"),IF(B$1="ga_es",IF(F40="","","null"),IF(B$1="ga_brp",IF(AF$5=0,"",AF$5),IF(F40="","",INDEX(Tabel13423232[brp_id],MATCH(F40,Tabel13423232[es_id],0),1)))))</f>
        <v/>
      </c>
      <c r="H40" s="33" t="str">
        <f t="shared" si="5"/>
        <v/>
      </c>
      <c r="I40" s="9">
        <f t="shared" si="8"/>
        <v>0</v>
      </c>
      <c r="J40" s="9">
        <f ca="1">SUMIFS(INDIRECT(ADDRESS(2,MATCH(D40,$1:$1,0),4,1)&amp;":"&amp;ADDRESS(19,MATCH(D40,$1:$1,0),4,1)),IF(OR(B$1="ga_es",B$1="ga_brp_es"),Tabel13423232[es_id],IF(B$1="ga_brp",Tabel13423232[brp_id],Tabel13423232[ga_id])),IF(OR(B$1="ga_es",B$1="ga_brp_es"),F40,IF(B$1="ga_brp",G40,E40)),IF(B$2="production",Tabel13423232[type],Tabel13423232[settlement_method]),AG$2,Tabel13423232[resolution],"PT15M")</f>
        <v>0</v>
      </c>
      <c r="K40" s="9">
        <f t="shared" si="6"/>
        <v>0</v>
      </c>
      <c r="L40" s="2"/>
      <c r="R40" s="24"/>
      <c r="S40" s="24"/>
      <c r="T40" s="24"/>
      <c r="U40" s="15" t="s">
        <v>57</v>
      </c>
      <c r="V40" s="19">
        <f>V$36</f>
        <v>1.00275</v>
      </c>
      <c r="W40" s="19">
        <f>X40+W39</f>
        <v>1.0030000000000003</v>
      </c>
      <c r="X40" s="19">
        <f>V40-Y39</f>
        <v>7.5000000000002842E-4</v>
      </c>
      <c r="Y40" s="23">
        <f>ROUND(W40, 3)</f>
        <v>1.0029999999999999</v>
      </c>
      <c r="Z40" s="23">
        <f>ROUND(V40,3)</f>
        <v>1.0029999999999999</v>
      </c>
      <c r="AA40" s="27"/>
      <c r="AB40" s="2"/>
      <c r="AC40" s="2"/>
      <c r="AD40" s="36"/>
      <c r="AE40" s="36" t="str" cm="1">
        <f t="array" ref="AE40">IFERROR(IF($B$2="production",_xlfn.UNIQUE(INDEX(_xlfn._xlws.FILTER(Tabel13423232[[type]:[brp_id]],(Tabel13423232[es_id]=AE24)*(Tabel13423232[type]="E18"),""),,9)),_xlfn.UNIQUE(INDEX(_xlfn._xlws.FILTER(Tabel13423232[[type]:[brp_id]],(Tabel13423232[es_id]=AE24)*(Tabel13423232[settlement_method]=AG$2),""),,9))),"")</f>
        <v/>
      </c>
      <c r="AF40" s="36" t="str" cm="1">
        <f t="array" ref="AF40">IFERROR(IF($B$2="production",_xlfn.UNIQUE(INDEX(_xlfn._xlws.FILTER(Tabel13423232[[type]:[brp_id]],(Tabel13423232[brp_id]=AF25)*(Tabel13423232[type]=$AG$2),""),,10)),_xlfn.UNIQUE(INDEX(_xlfn._xlws.FILTER(Tabel13423232[[type]:[brp_id]],(Tabel13423232[brp_id]=AF25)*(Tabel13423232[settlement_method]=AG$2),""),,10))),"")</f>
        <v/>
      </c>
      <c r="AG40" s="36"/>
      <c r="AH40" s="36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spans="1:92" x14ac:dyDescent="0.25">
      <c r="B41" s="16" t="str">
        <f>IF(AND(F41&lt;&gt;"null",F41&lt;&gt;""),IF(F41=INDEX(Tabel13423232[es_id],MATCH("GLMP",Tabel13423232[note],0),1),"glmp",""),IF(AND(G41&lt;&gt;"null",G41&lt;&gt;""),IF(G41=INDEX(Tabel13423232[brp_id],MATCH("GLMP",Tabel13423232[note],0),1),"glmp",""),IF(E41=INDEX(Tabel13423232[ga_id],MATCH("GLMP",Tabel13423232[note],0),1),"glmp","")))</f>
        <v/>
      </c>
      <c r="C41" s="16" t="str">
        <f>IF(AND(F41&lt;&gt;"null",F41&lt;&gt;""),IF(F41=INDEX(Tabel13423232[es_id],MATCH("SKMP",Tabel13423232[note],0),1),"skmp",""),IF(AND(G41&lt;&gt;"null",G41&lt;&gt;""),IF(G41=INDEX(Tabel13423232[brp_id],MATCH("SKMP",Tabel13423232[note],0),1),"skmp",""),IF(E41=INDEX(Tabel13423232[ga_id],MATCH("SKMP",Tabel13423232[note],0),1),"skmp","")))</f>
        <v/>
      </c>
      <c r="D41" s="15" t="s">
        <v>77</v>
      </c>
      <c r="E41" s="31" t="str">
        <f t="shared" si="7"/>
        <v/>
      </c>
      <c r="F41" s="31" t="str">
        <f>IF(B$1="ga",IF(E41="","","null"),IF(OR(B$1="ga_es",B$1="ga_brp_es"),IF(AE$6=0,"",AE$5),IF(B$1="ga_brp",IF(G41="","","null"))))</f>
        <v/>
      </c>
      <c r="G41" s="31" t="str">
        <f>IF(B$1="ga",IF(E41="","","null"),IF(B$1="ga_es",IF(F41="","","null"),IF(B$1="ga_brp",IF(AF$5=0,"",AF$5),IF(F41="","",INDEX(Tabel13423232[brp_id],MATCH(F41,Tabel13423232[es_id],0),1)))))</f>
        <v/>
      </c>
      <c r="H41" s="33" t="str">
        <f t="shared" si="5"/>
        <v/>
      </c>
      <c r="I41" s="9">
        <f t="shared" si="8"/>
        <v>0</v>
      </c>
      <c r="J41" s="9">
        <f ca="1">SUMIFS(INDIRECT(ADDRESS(2,MATCH(D41,$1:$1,0),4,1)&amp;":"&amp;ADDRESS(19,MATCH(D41,$1:$1,0),4,1)),IF(OR(B$1="ga_es",B$1="ga_brp_es"),Tabel13423232[es_id],IF(B$1="ga_brp",Tabel13423232[brp_id],Tabel13423232[ga_id])),IF(OR(B$1="ga_es",B$1="ga_brp_es"),F41,IF(B$1="ga_brp",G41,E41)),IF(B$2="production",Tabel13423232[type],Tabel13423232[settlement_method]),AG$2,Tabel13423232[resolution],"PT15M")</f>
        <v>0</v>
      </c>
      <c r="K41" s="9">
        <f t="shared" si="6"/>
        <v>0</v>
      </c>
      <c r="L41" s="2"/>
      <c r="R41" s="24"/>
      <c r="S41" s="24"/>
      <c r="T41" s="24"/>
      <c r="U41" s="24"/>
      <c r="V41" s="28">
        <f>SUMIFS(Tabel13423232[TotalHour],Tabel13423232[type],"E18",Tabel13423232[resolution],"PT1H")</f>
        <v>12.989000000000001</v>
      </c>
      <c r="W41" s="39" t="s">
        <v>49</v>
      </c>
      <c r="X41" s="40"/>
      <c r="Y41" s="28">
        <f>SUM(Y43:Y46)</f>
        <v>12.989000000000001</v>
      </c>
      <c r="Z41" s="21">
        <f>SUM(Z43:Z46)</f>
        <v>12.988</v>
      </c>
      <c r="AA41" s="27"/>
      <c r="AB41" s="2"/>
      <c r="AC41" s="2"/>
      <c r="AD41" s="36"/>
      <c r="AE41" s="36" t="str" cm="1">
        <f t="array" ref="AE41">IFERROR(IF($B$2="production",_xlfn.UNIQUE(INDEX(_xlfn._xlws.FILTER(Tabel13423232[[type]:[brp_id]],(Tabel13423232[es_id]=AE25)*(Tabel13423232[type]="E18"),""),,9)),_xlfn.UNIQUE(INDEX(_xlfn._xlws.FILTER(Tabel13423232[[type]:[brp_id]],(Tabel13423232[es_id]=AE25)*(Tabel13423232[settlement_method]=AG$2),""),,9))),"")</f>
        <v/>
      </c>
      <c r="AF41" s="36" t="str" cm="1">
        <f t="array" ref="AF41">IFERROR(IF($B$2="production",_xlfn.UNIQUE(INDEX(_xlfn._xlws.FILTER(Tabel13423232[[type]:[brp_id]],(Tabel13423232[brp_id]=AF26)*(Tabel13423232[type]=$AG$2),""),,10)),_xlfn.UNIQUE(INDEX(_xlfn._xlws.FILTER(Tabel13423232[[type]:[brp_id]],(Tabel13423232[brp_id]=AF26)*(Tabel13423232[settlement_method]=AG$2),""),,10))),"")</f>
        <v/>
      </c>
      <c r="AG41" s="36"/>
      <c r="AH41" s="36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spans="1:92" x14ac:dyDescent="0.25">
      <c r="B42" s="16" t="str">
        <f>IF(AND(F42&lt;&gt;"null",F42&lt;&gt;""),IF(F42=INDEX(Tabel13423232[es_id],MATCH("GLMP",Tabel13423232[note],0),1),"glmp",""),IF(AND(G42&lt;&gt;"null",G42&lt;&gt;""),IF(G42=INDEX(Tabel13423232[brp_id],MATCH("GLMP",Tabel13423232[note],0),1),"glmp",""),IF(E42=INDEX(Tabel13423232[ga_id],MATCH("GLMP",Tabel13423232[note],0),1),"glmp","")))</f>
        <v/>
      </c>
      <c r="C42" s="16" t="str">
        <f>IF(AND(F42&lt;&gt;"null",F42&lt;&gt;""),IF(F42=INDEX(Tabel13423232[es_id],MATCH("SKMP",Tabel13423232[note],0),1),"skmp",""),IF(AND(G42&lt;&gt;"null",G42&lt;&gt;""),IF(G42=INDEX(Tabel13423232[brp_id],MATCH("SKMP",Tabel13423232[note],0),1),"skmp",""),IF(E42=INDEX(Tabel13423232[ga_id],MATCH("SKMP",Tabel13423232[note],0),1),"skmp","")))</f>
        <v/>
      </c>
      <c r="D42" s="15" t="s">
        <v>74</v>
      </c>
      <c r="E42" s="31" t="str">
        <f t="shared" si="7"/>
        <v/>
      </c>
      <c r="F42" s="31" t="str">
        <f>IF(B$1="ga",IF(E42="","","null"),IF(OR(B$1="ga_es",B$1="ga_brp_es"),IF(AE$7=0,"",AE$5),IF(B$1="ga_brp",IF(G42="","","null"))))</f>
        <v/>
      </c>
      <c r="G42" s="31" t="str">
        <f>IF(B$1="ga",IF(E42="","","null"),IF(B$1="ga_es",IF(F42="","","null"),IF(B$1="ga_brp",IF(AF$5=0,"",AF$5),IF(F42="","",INDEX(Tabel13423232[brp_id],MATCH(F42,Tabel13423232[es_id],0),1)))))</f>
        <v/>
      </c>
      <c r="H42" s="33" t="str">
        <f t="shared" si="5"/>
        <v/>
      </c>
      <c r="I42" s="9">
        <f t="shared" si="8"/>
        <v>0</v>
      </c>
      <c r="J42" s="9">
        <f ca="1">SUMIFS(INDIRECT(ADDRESS(2,MATCH(D42,$1:$1,0),4,1)&amp;":"&amp;ADDRESS(19,MATCH(D42,$1:$1,0),4,1)),IF(OR(B$1="ga_es",B$1="ga_brp_es"),Tabel13423232[es_id],IF(B$1="ga_brp",Tabel13423232[brp_id],Tabel13423232[ga_id])),IF(OR(B$1="ga_es",B$1="ga_brp_es"),F42,IF(B$1="ga_brp",G42,E42)),IF(B$2="production",Tabel13423232[type],Tabel13423232[settlement_method]),AG$2,Tabel13423232[resolution],"PT15M")</f>
        <v>0</v>
      </c>
      <c r="K42" s="9">
        <f t="shared" si="6"/>
        <v>0</v>
      </c>
      <c r="L42" s="2"/>
      <c r="R42" s="24"/>
      <c r="S42" s="24"/>
      <c r="T42" s="24"/>
      <c r="U42" s="7" t="s">
        <v>29</v>
      </c>
      <c r="V42" s="22">
        <f>SUMIFS(Tabel13423232[TotalHour],Tabel13423232[type],"E18",Tabel13423232[resolution],"PT1H")/4</f>
        <v>3.2472500000000002</v>
      </c>
      <c r="W42" s="7" t="s">
        <v>45</v>
      </c>
      <c r="X42" s="7" t="s">
        <v>46</v>
      </c>
      <c r="Y42" s="7" t="s">
        <v>47</v>
      </c>
      <c r="Z42" s="7" t="s">
        <v>48</v>
      </c>
      <c r="AA42" s="27"/>
      <c r="AB42" s="2"/>
      <c r="AC42" s="2"/>
      <c r="AD42" s="36"/>
      <c r="AE42" s="36" t="str" cm="1">
        <f t="array" ref="AE42">IFERROR(IF($B$2="production",_xlfn.UNIQUE(INDEX(_xlfn._xlws.FILTER(Tabel13423232[[type]:[brp_id]],(Tabel13423232[es_id]=AE26)*(Tabel13423232[type]="E18"),""),,9)),_xlfn.UNIQUE(INDEX(_xlfn._xlws.FILTER(Tabel13423232[[type]:[brp_id]],(Tabel13423232[es_id]=AE26)*(Tabel13423232[settlement_method]=AG$2),""),,9))),"")</f>
        <v/>
      </c>
      <c r="AF42" s="36" t="str" cm="1">
        <f t="array" ref="AF42">IFERROR(IF($B$2="production",_xlfn.UNIQUE(INDEX(_xlfn._xlws.FILTER(Tabel13423232[[type]:[brp_id]],(Tabel13423232[brp_id]=AF27)*(Tabel13423232[type]=$AG$2),""),,10)),_xlfn.UNIQUE(INDEX(_xlfn._xlws.FILTER(Tabel13423232[[type]:[brp_id]],(Tabel13423232[brp_id]=AF27)*(Tabel13423232[settlement_method]=AG$2),""),,10))),"")</f>
        <v/>
      </c>
      <c r="AG42" s="36"/>
      <c r="AH42" s="3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spans="1:92" x14ac:dyDescent="0.25">
      <c r="B43" s="16" t="str">
        <f>IF(AND(F43&lt;&gt;"null",F43&lt;&gt;""),IF(F43=INDEX(Tabel13423232[es_id],MATCH("GLMP",Tabel13423232[note],0),1),"glmp",""),IF(AND(G43&lt;&gt;"null",G43&lt;&gt;""),IF(G43=INDEX(Tabel13423232[brp_id],MATCH("GLMP",Tabel13423232[note],0),1),"glmp",""),IF(E43=INDEX(Tabel13423232[ga_id],MATCH("GLMP",Tabel13423232[note],0),1),"glmp","")))</f>
        <v/>
      </c>
      <c r="C43" s="16" t="str">
        <f>IF(AND(F43&lt;&gt;"null",F43&lt;&gt;""),IF(F43=INDEX(Tabel13423232[es_id],MATCH("SKMP",Tabel13423232[note],0),1),"skmp",""),IF(AND(G43&lt;&gt;"null",G43&lt;&gt;""),IF(G43=INDEX(Tabel13423232[brp_id],MATCH("SKMP",Tabel13423232[note],0),1),"skmp",""),IF(E43=INDEX(Tabel13423232[ga_id],MATCH("SKMP",Tabel13423232[note],0),1),"skmp","")))</f>
        <v/>
      </c>
      <c r="D43" s="15" t="s">
        <v>75</v>
      </c>
      <c r="E43" s="31" t="str">
        <f t="shared" si="7"/>
        <v/>
      </c>
      <c r="F43" s="31" t="str">
        <f>IF(B$1="ga",IF(E43="","","null"),IF(OR(B$1="ga_es",B$1="ga_brp_es"),IF(AE$7=0,"",AE$5),IF(B$1="ga_brp",IF(G43="","","null"))))</f>
        <v/>
      </c>
      <c r="G43" s="31" t="str">
        <f>IF(B$1="ga",IF(E43="","","null"),IF(B$1="ga_es",IF(F43="","","null"),IF(B$1="ga_brp",IF(AF$5=0,"",AF$5),IF(F43="","",INDEX(Tabel13423232[brp_id],MATCH(F43,Tabel13423232[es_id],0),1)))))</f>
        <v/>
      </c>
      <c r="H43" s="33" t="str">
        <f t="shared" si="5"/>
        <v/>
      </c>
      <c r="I43" s="9">
        <f t="shared" si="8"/>
        <v>0</v>
      </c>
      <c r="J43" s="9">
        <f ca="1">SUMIFS(INDIRECT(ADDRESS(2,MATCH(D43,$1:$1,0),4,1)&amp;":"&amp;ADDRESS(19,MATCH(D43,$1:$1,0),4,1)),IF(OR(B$1="ga_es",B$1="ga_brp_es"),Tabel13423232[es_id],IF(B$1="ga_brp",Tabel13423232[brp_id],Tabel13423232[ga_id])),IF(OR(B$1="ga_es",B$1="ga_brp_es"),F43,IF(B$1="ga_brp",G43,E43)),IF(B$2="production",Tabel13423232[type],Tabel13423232[settlement_method]),AG$2,Tabel13423232[resolution],"PT15M")</f>
        <v>0</v>
      </c>
      <c r="K43" s="9">
        <f t="shared" si="6"/>
        <v>0</v>
      </c>
      <c r="L43" s="2"/>
      <c r="R43" s="24"/>
      <c r="S43" s="24"/>
      <c r="T43" s="24"/>
      <c r="U43" s="15" t="s">
        <v>50</v>
      </c>
      <c r="V43" s="19">
        <f>V$42</f>
        <v>3.2472500000000002</v>
      </c>
      <c r="W43" s="19">
        <f>V43</f>
        <v>3.2472500000000002</v>
      </c>
      <c r="X43" s="19"/>
      <c r="Y43" s="23">
        <f>ROUND(W43, 3)</f>
        <v>3.2469999999999999</v>
      </c>
      <c r="Z43" s="23">
        <f>ROUND(V43,3)</f>
        <v>3.2469999999999999</v>
      </c>
      <c r="AA43" s="27"/>
      <c r="AB43" s="2"/>
      <c r="AC43" s="2"/>
      <c r="AD43" s="36"/>
      <c r="AE43" s="36" t="str" cm="1">
        <f t="array" ref="AE43">IFERROR(IF($B$2="production",_xlfn.UNIQUE(INDEX(_xlfn._xlws.FILTER(Tabel13423232[[type]:[brp_id]],(Tabel13423232[es_id]=AE27)*(Tabel13423232[type]="E18"),""),,9)),_xlfn.UNIQUE(INDEX(_xlfn._xlws.FILTER(Tabel13423232[[type]:[brp_id]],(Tabel13423232[es_id]=AE27)*(Tabel13423232[settlement_method]=AG$2),""),,9))),"")</f>
        <v/>
      </c>
      <c r="AF43" s="36" t="str" cm="1">
        <f t="array" ref="AF43">IFERROR(IF($B$2="production",_xlfn.UNIQUE(INDEX(_xlfn._xlws.FILTER(Tabel13423232[[type]:[brp_id]],(Tabel13423232[brp_id]=AF28)*(Tabel13423232[type]=$AG$2),""),,10)),_xlfn.UNIQUE(INDEX(_xlfn._xlws.FILTER(Tabel13423232[[type]:[brp_id]],(Tabel13423232[brp_id]=AF28)*(Tabel13423232[settlement_method]=AG$2),""),,10))),"")</f>
        <v/>
      </c>
      <c r="AG43" s="36"/>
      <c r="AH43" s="3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spans="1:92" x14ac:dyDescent="0.25">
      <c r="B44" s="16" t="str">
        <f>IF(AND(F44&lt;&gt;"null",F44&lt;&gt;""),IF(F44=INDEX(Tabel13423232[es_id],MATCH("GLMP",Tabel13423232[note],0),1),"glmp",""),IF(AND(G44&lt;&gt;"null",G44&lt;&gt;""),IF(G44=INDEX(Tabel13423232[brp_id],MATCH("GLMP",Tabel13423232[note],0),1),"glmp",""),IF(E44=INDEX(Tabel13423232[ga_id],MATCH("GLMP",Tabel13423232[note],0),1),"glmp","")))</f>
        <v/>
      </c>
      <c r="C44" s="16" t="str">
        <f>IF(AND(F44&lt;&gt;"null",F44&lt;&gt;""),IF(F44=INDEX(Tabel13423232[es_id],MATCH("SKMP",Tabel13423232[note],0),1),"skmp",""),IF(AND(G44&lt;&gt;"null",G44&lt;&gt;""),IF(G44=INDEX(Tabel13423232[brp_id],MATCH("SKMP",Tabel13423232[note],0),1),"skmp",""),IF(E44=INDEX(Tabel13423232[ga_id],MATCH("SKMP",Tabel13423232[note],0),1),"skmp","")))</f>
        <v/>
      </c>
      <c r="D44" s="15" t="s">
        <v>76</v>
      </c>
      <c r="E44" s="31" t="str">
        <f t="shared" si="7"/>
        <v/>
      </c>
      <c r="F44" s="31" t="str">
        <f>IF(B$1="ga",IF(E44="","","null"),IF(OR(B$1="ga_es",B$1="ga_brp_es"),IF(AE$7=0,"",AE$5),IF(B$1="ga_brp",IF(G44="","","null"))))</f>
        <v/>
      </c>
      <c r="G44" s="31" t="str">
        <f>IF(B$1="ga",IF(E44="","","null"),IF(B$1="ga_es",IF(F44="","","null"),IF(B$1="ga_brp",IF(AF$5=0,"",AF$5),IF(F44="","",INDEX(Tabel13423232[brp_id],MATCH(F44,Tabel13423232[es_id],0),1)))))</f>
        <v/>
      </c>
      <c r="H44" s="33" t="str">
        <f t="shared" si="5"/>
        <v/>
      </c>
      <c r="I44" s="9">
        <f t="shared" si="8"/>
        <v>0</v>
      </c>
      <c r="J44" s="9">
        <f ca="1">SUMIFS(INDIRECT(ADDRESS(2,MATCH(D44,$1:$1,0),4,1)&amp;":"&amp;ADDRESS(19,MATCH(D44,$1:$1,0),4,1)),IF(OR(B$1="ga_es",B$1="ga_brp_es"),Tabel13423232[es_id],IF(B$1="ga_brp",Tabel13423232[brp_id],Tabel13423232[ga_id])),IF(OR(B$1="ga_es",B$1="ga_brp_es"),F44,IF(B$1="ga_brp",G44,E44)),IF(B$2="production",Tabel13423232[type],Tabel13423232[settlement_method]),AG$2,Tabel13423232[resolution],"PT15M")</f>
        <v>0</v>
      </c>
      <c r="K44" s="9">
        <f t="shared" si="6"/>
        <v>0</v>
      </c>
      <c r="L44" s="2"/>
      <c r="R44" s="24"/>
      <c r="S44" s="24"/>
      <c r="T44" s="24"/>
      <c r="U44" s="15" t="s">
        <v>51</v>
      </c>
      <c r="V44" s="19">
        <f>V$42</f>
        <v>3.2472500000000002</v>
      </c>
      <c r="W44" s="19">
        <f>X44+W43</f>
        <v>3.2475000000000005</v>
      </c>
      <c r="X44" s="19">
        <f>V44-Y43</f>
        <v>2.5000000000030553E-4</v>
      </c>
      <c r="Y44" s="23">
        <f>ROUND(W44, 3)</f>
        <v>3.2480000000000002</v>
      </c>
      <c r="Z44" s="23">
        <f>ROUND(V44,3)</f>
        <v>3.2469999999999999</v>
      </c>
      <c r="AA44" s="27"/>
      <c r="AB44" s="2"/>
      <c r="AC44" s="2"/>
      <c r="AD44" s="36"/>
      <c r="AE44" s="36"/>
      <c r="AF44" s="36"/>
      <c r="AG44" s="36"/>
      <c r="AH44" s="36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spans="1:92" x14ac:dyDescent="0.25">
      <c r="B45" s="16" t="str">
        <f>IF(AND(F45&lt;&gt;"null",F45&lt;&gt;""),IF(F45=INDEX(Tabel13423232[es_id],MATCH("GLMP",Tabel13423232[note],0),1),"glmp",""),IF(AND(G45&lt;&gt;"null",G45&lt;&gt;""),IF(G45=INDEX(Tabel13423232[brp_id],MATCH("GLMP",Tabel13423232[note],0),1),"glmp",""),IF(E45=INDEX(Tabel13423232[ga_id],MATCH("GLMP",Tabel13423232[note],0),1),"glmp","")))</f>
        <v/>
      </c>
      <c r="C45" s="16" t="str">
        <f>IF(AND(F45&lt;&gt;"null",F45&lt;&gt;""),IF(F45=INDEX(Tabel13423232[es_id],MATCH("SKMP",Tabel13423232[note],0),1),"skmp",""),IF(AND(G45&lt;&gt;"null",G45&lt;&gt;""),IF(G45=INDEX(Tabel13423232[brp_id],MATCH("SKMP",Tabel13423232[note],0),1),"skmp",""),IF(E45=INDEX(Tabel13423232[ga_id],MATCH("SKMP",Tabel13423232[note],0),1),"skmp","")))</f>
        <v/>
      </c>
      <c r="D45" s="15" t="s">
        <v>77</v>
      </c>
      <c r="E45" s="31" t="str">
        <f t="shared" si="7"/>
        <v/>
      </c>
      <c r="F45" s="31" t="str">
        <f>IF(B$1="ga",IF(E45="","","null"),IF(OR(B$1="ga_es",B$1="ga_brp_es"),IF(AE$7=0,"",AE$5),IF(B$1="ga_brp",IF(G45="","","null"))))</f>
        <v/>
      </c>
      <c r="G45" s="31" t="str">
        <f>IF(B$1="ga",IF(E45="","","null"),IF(B$1="ga_es",IF(F45="","","null"),IF(B$1="ga_brp",IF(AF$5=0,"",AF$5),IF(F45="","",INDEX(Tabel13423232[brp_id],MATCH(F45,Tabel13423232[es_id],0),1)))))</f>
        <v/>
      </c>
      <c r="H45" s="33" t="str">
        <f t="shared" si="5"/>
        <v/>
      </c>
      <c r="I45" s="9">
        <f t="shared" si="8"/>
        <v>0</v>
      </c>
      <c r="J45" s="9">
        <f ca="1">SUMIFS(INDIRECT(ADDRESS(2,MATCH(D45,$1:$1,0),4,1)&amp;":"&amp;ADDRESS(19,MATCH(D45,$1:$1,0),4,1)),IF(OR(B$1="ga_es",B$1="ga_brp_es"),Tabel13423232[es_id],IF(B$1="ga_brp",Tabel13423232[brp_id],Tabel13423232[ga_id])),IF(OR(B$1="ga_es",B$1="ga_brp_es"),F45,IF(B$1="ga_brp",G45,E45)),IF(B$2="production",Tabel13423232[type],Tabel13423232[settlement_method]),AG$2,Tabel13423232[resolution],"PT15M")</f>
        <v>0</v>
      </c>
      <c r="K45" s="9">
        <f t="shared" si="6"/>
        <v>0</v>
      </c>
      <c r="L45" s="2"/>
      <c r="R45" s="24"/>
      <c r="S45" s="24"/>
      <c r="T45" s="24"/>
      <c r="U45" s="15" t="s">
        <v>52</v>
      </c>
      <c r="V45" s="19">
        <f>V$42</f>
        <v>3.2472500000000002</v>
      </c>
      <c r="W45" s="19">
        <f>X45+W44</f>
        <v>3.2467500000000005</v>
      </c>
      <c r="X45" s="19">
        <f>V45-Y44</f>
        <v>-7.5000000000002842E-4</v>
      </c>
      <c r="Y45" s="23">
        <f>ROUND(W45, 3)</f>
        <v>3.2469999999999999</v>
      </c>
      <c r="Z45" s="23">
        <f>ROUND(V45,3)</f>
        <v>3.2469999999999999</v>
      </c>
      <c r="AA45" s="27"/>
      <c r="AB45" s="2"/>
      <c r="AC45" s="2"/>
      <c r="AD45" s="36"/>
      <c r="AE45" s="36"/>
      <c r="AF45" s="36"/>
      <c r="AG45" s="36"/>
      <c r="AH45" s="36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spans="1:92" ht="23.25" x14ac:dyDescent="0.35">
      <c r="C46" s="2"/>
      <c r="E46" s="44" t="s">
        <v>34</v>
      </c>
      <c r="F46" s="44"/>
      <c r="G46" s="44"/>
      <c r="H46" s="44"/>
      <c r="R46" s="24"/>
      <c r="S46" s="24"/>
      <c r="T46" s="24"/>
      <c r="U46" s="15" t="s">
        <v>53</v>
      </c>
      <c r="V46" s="19">
        <f>V$42</f>
        <v>3.2472500000000002</v>
      </c>
      <c r="W46" s="19">
        <f>X46+W45</f>
        <v>3.2470000000000008</v>
      </c>
      <c r="X46" s="19">
        <f>V46-Y45</f>
        <v>2.5000000000030553E-4</v>
      </c>
      <c r="Y46" s="23">
        <f>ROUND(W46, 3)</f>
        <v>3.2469999999999999</v>
      </c>
      <c r="Z46" s="23">
        <f>ROUND(V46,3)</f>
        <v>3.2469999999999999</v>
      </c>
      <c r="AA46" s="27"/>
      <c r="AB46" s="2"/>
      <c r="AC46" s="2"/>
      <c r="AD46" s="36"/>
      <c r="AE46" s="36"/>
      <c r="AF46" s="36"/>
      <c r="AG46" s="36"/>
      <c r="AH46" s="3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spans="1:92" ht="18.75" x14ac:dyDescent="0.3">
      <c r="C47" s="2"/>
      <c r="D47" s="4" t="s">
        <v>20</v>
      </c>
      <c r="E47" s="4" t="s">
        <v>18</v>
      </c>
      <c r="F47" s="5" t="s">
        <v>0</v>
      </c>
      <c r="G47" s="5" t="s">
        <v>1</v>
      </c>
      <c r="H47" s="5" t="s">
        <v>2</v>
      </c>
      <c r="R47" s="24"/>
      <c r="S47" s="24"/>
      <c r="T47" s="24"/>
      <c r="U47" s="24"/>
      <c r="V47" s="28">
        <f>SUMIFS(Tabel13423232[TotalHour],Tabel13423232[settlement_method],"E02",Tabel13423232[resolution],"PT1H")</f>
        <v>5.0010000000000003</v>
      </c>
      <c r="W47" s="39" t="s">
        <v>49</v>
      </c>
      <c r="X47" s="40"/>
      <c r="Y47" s="28">
        <f>SUM(Y49:Y52)</f>
        <v>5.0009999999999994</v>
      </c>
      <c r="Z47" s="21">
        <f>SUM(Z49:Z52)</f>
        <v>5</v>
      </c>
      <c r="AA47" s="27"/>
      <c r="AB47" s="2"/>
      <c r="AC47" s="2"/>
      <c r="AD47" s="36"/>
      <c r="AE47" s="36"/>
      <c r="AF47" s="36"/>
      <c r="AG47" s="36"/>
      <c r="AH47" s="3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spans="1:92" x14ac:dyDescent="0.25">
      <c r="A48" s="2"/>
      <c r="B48" s="2"/>
      <c r="C48" s="2"/>
      <c r="D48" s="8" t="s">
        <v>74</v>
      </c>
      <c r="E48" s="31" t="str">
        <f>$AD$2</f>
        <v>800</v>
      </c>
      <c r="F48" s="31" t="s">
        <v>33</v>
      </c>
      <c r="G48" s="31" t="s">
        <v>33</v>
      </c>
      <c r="H48" s="32">
        <f>powerIn1H_quarter1+powerIn15M_quarter1-powerOut1H_quarter1-powerOut15M_quarter1</f>
        <v>8.1530000000000005</v>
      </c>
      <c r="I48" s="2"/>
      <c r="R48" s="24"/>
      <c r="S48" s="24"/>
      <c r="T48" s="24"/>
      <c r="U48" s="7" t="s">
        <v>44</v>
      </c>
      <c r="V48" s="9">
        <f>SUMIFS(Tabel13423232[TotalHour],Tabel13423232[settlement_method],"E02",Tabel13423232[resolution],"PT1H")/4</f>
        <v>1.2502500000000001</v>
      </c>
      <c r="W48" s="7" t="s">
        <v>45</v>
      </c>
      <c r="X48" s="7" t="s">
        <v>46</v>
      </c>
      <c r="Y48" s="7" t="s">
        <v>47</v>
      </c>
      <c r="Z48" s="7" t="s">
        <v>48</v>
      </c>
      <c r="AA48" s="27"/>
      <c r="AB48" s="2"/>
      <c r="AC48" s="2"/>
      <c r="AD48" s="36"/>
      <c r="AE48" s="36"/>
      <c r="AF48" s="36"/>
      <c r="AG48" s="36"/>
      <c r="AH48" s="36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spans="1:92" x14ac:dyDescent="0.25">
      <c r="A49" s="2"/>
      <c r="B49" s="2"/>
      <c r="C49" s="2"/>
      <c r="D49" s="8" t="s">
        <v>75</v>
      </c>
      <c r="E49" s="31" t="str">
        <f t="shared" ref="E49:E51" si="12">$AD$2</f>
        <v>800</v>
      </c>
      <c r="F49" s="31" t="s">
        <v>33</v>
      </c>
      <c r="G49" s="31" t="s">
        <v>33</v>
      </c>
      <c r="H49" s="32">
        <f>powerIn1H_quarter2+powerIn15M_quarter2-powerOut1H_quarter2-powerOut15M_quarter2</f>
        <v>8.1530000000000005</v>
      </c>
      <c r="I49" s="2"/>
      <c r="R49" s="24"/>
      <c r="S49" s="24"/>
      <c r="T49" s="24"/>
      <c r="U49" s="15" t="s">
        <v>58</v>
      </c>
      <c r="V49" s="19">
        <f>V$48</f>
        <v>1.2502500000000001</v>
      </c>
      <c r="W49" s="19">
        <f>V49</f>
        <v>1.2502500000000001</v>
      </c>
      <c r="X49" s="19"/>
      <c r="Y49" s="23">
        <f>ROUND(W49, 3)</f>
        <v>1.25</v>
      </c>
      <c r="Z49" s="23">
        <f>ROUND(V49,3)</f>
        <v>1.25</v>
      </c>
      <c r="AA49" s="27"/>
      <c r="AB49" s="2"/>
      <c r="AC49" s="2"/>
      <c r="AD49" s="2"/>
      <c r="AE49" s="36"/>
      <c r="AF49" s="36"/>
      <c r="AG49" s="27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spans="1:92" x14ac:dyDescent="0.25">
      <c r="A50" s="2"/>
      <c r="B50" s="2"/>
      <c r="C50" s="2"/>
      <c r="D50" s="8" t="s">
        <v>76</v>
      </c>
      <c r="E50" s="31" t="str">
        <f t="shared" si="12"/>
        <v>800</v>
      </c>
      <c r="F50" s="31" t="s">
        <v>33</v>
      </c>
      <c r="G50" s="31" t="s">
        <v>33</v>
      </c>
      <c r="H50" s="32">
        <f>powerIn1H_quarter3+powerIn15M_quarter3-powerOut1H_quarter3-powerOut15M_quarter3</f>
        <v>8.1530000000000005</v>
      </c>
      <c r="I50" s="2"/>
      <c r="R50" s="24"/>
      <c r="S50" s="24"/>
      <c r="T50" s="24"/>
      <c r="U50" s="15" t="s">
        <v>59</v>
      </c>
      <c r="V50" s="19">
        <f>V$48</f>
        <v>1.2502500000000001</v>
      </c>
      <c r="W50" s="19">
        <f>X50+W49</f>
        <v>1.2505000000000002</v>
      </c>
      <c r="X50" s="19">
        <f>V50-Y49</f>
        <v>2.5000000000008349E-4</v>
      </c>
      <c r="Y50" s="23">
        <f>ROUND(W50, 3)</f>
        <v>1.2509999999999999</v>
      </c>
      <c r="Z50" s="23">
        <f>ROUND(V50,3)</f>
        <v>1.25</v>
      </c>
      <c r="AA50" s="24"/>
      <c r="AB50" s="2"/>
      <c r="AC50" s="2"/>
      <c r="AD50" s="2"/>
      <c r="AE50" s="2"/>
      <c r="AF50" s="36"/>
      <c r="AG50" s="27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spans="1:92" x14ac:dyDescent="0.25">
      <c r="A51" s="2"/>
      <c r="B51" s="2"/>
      <c r="C51" s="2"/>
      <c r="D51" s="8" t="s">
        <v>77</v>
      </c>
      <c r="E51" s="31" t="str">
        <f t="shared" si="12"/>
        <v>800</v>
      </c>
      <c r="F51" s="31" t="s">
        <v>33</v>
      </c>
      <c r="G51" s="31" t="s">
        <v>33</v>
      </c>
      <c r="H51" s="32">
        <f>powerIn1H_quarter4+powerIn15M_quarter4-powerOut1H_quarter4-powerOut15M_quarter4</f>
        <v>8.1530000000000005</v>
      </c>
      <c r="I51" s="2"/>
      <c r="R51" s="24"/>
      <c r="S51" s="24"/>
      <c r="T51" s="24"/>
      <c r="U51" s="15" t="s">
        <v>60</v>
      </c>
      <c r="V51" s="19">
        <f>V$48</f>
        <v>1.2502500000000001</v>
      </c>
      <c r="W51" s="19">
        <f>X51+W50</f>
        <v>1.2497500000000004</v>
      </c>
      <c r="X51" s="19">
        <f>V51-Y50</f>
        <v>-7.4999999999980638E-4</v>
      </c>
      <c r="Y51" s="23">
        <f>ROUND(W51, 3)</f>
        <v>1.25</v>
      </c>
      <c r="Z51" s="23">
        <f>ROUND(V51,3)</f>
        <v>1.25</v>
      </c>
      <c r="AA51" s="24"/>
      <c r="AB51" s="2"/>
      <c r="AC51" s="2"/>
      <c r="AD51" s="2"/>
      <c r="AE51" s="2"/>
      <c r="AF51" s="2"/>
      <c r="AG51" s="27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</row>
    <row r="52" spans="1:92" ht="23.25" x14ac:dyDescent="0.35">
      <c r="A52" s="2"/>
      <c r="B52" s="2"/>
      <c r="C52" s="2"/>
      <c r="E52" s="48" t="s">
        <v>36</v>
      </c>
      <c r="F52" s="49"/>
      <c r="G52" s="49"/>
      <c r="H52" s="50"/>
      <c r="R52" s="24"/>
      <c r="S52" s="24"/>
      <c r="T52" s="24"/>
      <c r="U52" s="15" t="s">
        <v>61</v>
      </c>
      <c r="V52" s="19">
        <f>V$48</f>
        <v>1.2502500000000001</v>
      </c>
      <c r="W52" s="19">
        <f>X52+W51</f>
        <v>1.2500000000000004</v>
      </c>
      <c r="X52" s="19">
        <f>V52-Y51</f>
        <v>2.5000000000008349E-4</v>
      </c>
      <c r="Y52" s="23">
        <f>ROUND(W52, 3)</f>
        <v>1.25</v>
      </c>
      <c r="Z52" s="23">
        <f>ROUND(V52,3)</f>
        <v>1.25</v>
      </c>
      <c r="AA52" s="24"/>
      <c r="AB52" s="2"/>
      <c r="AC52" s="2"/>
      <c r="AD52" s="2"/>
      <c r="AE52" s="2"/>
      <c r="AF52" s="2"/>
      <c r="AG52" s="27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</row>
    <row r="53" spans="1:92" ht="18.75" x14ac:dyDescent="0.3">
      <c r="A53" s="2"/>
      <c r="B53" s="2"/>
      <c r="C53" s="2"/>
      <c r="D53" s="4" t="s">
        <v>20</v>
      </c>
      <c r="E53" s="4" t="s">
        <v>18</v>
      </c>
      <c r="F53" s="5" t="s">
        <v>0</v>
      </c>
      <c r="G53" s="5" t="s">
        <v>1</v>
      </c>
      <c r="H53" s="5" t="s">
        <v>2</v>
      </c>
      <c r="R53" s="24"/>
      <c r="S53" s="24"/>
      <c r="T53" s="24"/>
      <c r="U53" s="24"/>
      <c r="V53" s="28">
        <f>ROUND(SUMIFS(Tabel13423232[TotalHour],Tabel13423232[type],"E20",Tabel13423232[resolution],"PT1H",Tabel13423232[to_ga],$AD$2),3)</f>
        <v>32.612000000000002</v>
      </c>
      <c r="W53" s="39" t="s">
        <v>49</v>
      </c>
      <c r="X53" s="40"/>
      <c r="Y53" s="28">
        <f>ROUND(SUM(Y55:Y58),3)</f>
        <v>32.612000000000002</v>
      </c>
      <c r="Z53" s="21">
        <f>SUM(Z55:Z58)</f>
        <v>32.612000000000002</v>
      </c>
      <c r="AA53" s="24"/>
      <c r="AB53" s="2"/>
      <c r="AC53" s="2"/>
      <c r="AD53" s="2"/>
      <c r="AE53" s="2"/>
      <c r="AF53" s="2"/>
      <c r="AG53" s="27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</row>
    <row r="54" spans="1:92" x14ac:dyDescent="0.25">
      <c r="A54" s="2"/>
      <c r="B54" s="2"/>
      <c r="C54" s="2"/>
      <c r="D54" s="8" t="s">
        <v>3</v>
      </c>
      <c r="E54" s="31" t="str">
        <f>$AD$2</f>
        <v>800</v>
      </c>
      <c r="F54" s="31" t="s">
        <v>33</v>
      </c>
      <c r="G54" s="31" t="s">
        <v>33</v>
      </c>
      <c r="H54" s="32">
        <f>totalFlex1H_quarter1+totalFlex15M_quarter1</f>
        <v>1.103</v>
      </c>
      <c r="R54" s="24"/>
      <c r="S54" s="24"/>
      <c r="T54" s="24"/>
      <c r="U54" s="6" t="s">
        <v>30</v>
      </c>
      <c r="V54" s="9">
        <f>SUMIFS(Tabel13423232[TotalHour],Tabel13423232[type],"E20",Tabel13423232[resolution],"PT1H",Tabel13423232[to_ga],$AD$2)/4</f>
        <v>8.1530000000000005</v>
      </c>
      <c r="W54" s="7" t="s">
        <v>45</v>
      </c>
      <c r="X54" s="7" t="s">
        <v>46</v>
      </c>
      <c r="Y54" s="7" t="s">
        <v>47</v>
      </c>
      <c r="Z54" s="7" t="s">
        <v>48</v>
      </c>
      <c r="AA54" s="24"/>
      <c r="AB54" s="2"/>
      <c r="AC54" s="2"/>
      <c r="AD54" s="2"/>
      <c r="AE54" s="2"/>
      <c r="AF54" s="2"/>
      <c r="AG54" s="27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</row>
    <row r="55" spans="1:92" x14ac:dyDescent="0.25">
      <c r="A55" s="2"/>
      <c r="B55" s="2"/>
      <c r="C55" s="2"/>
      <c r="D55" s="8" t="s">
        <v>4</v>
      </c>
      <c r="E55" s="31" t="str">
        <f t="shared" ref="E55:E57" si="13">$AD$2</f>
        <v>800</v>
      </c>
      <c r="F55" s="31" t="s">
        <v>33</v>
      </c>
      <c r="G55" s="31" t="s">
        <v>33</v>
      </c>
      <c r="H55" s="32">
        <f>totalFlex1H_quarter2+totalFlex15M_quarter2</f>
        <v>1.2029999999999998</v>
      </c>
      <c r="R55" s="24"/>
      <c r="S55" s="24"/>
      <c r="T55" s="24"/>
      <c r="U55" s="15" t="s">
        <v>62</v>
      </c>
      <c r="V55" s="19">
        <f>V$54</f>
        <v>8.1530000000000005</v>
      </c>
      <c r="W55" s="19">
        <f>V55</f>
        <v>8.1530000000000005</v>
      </c>
      <c r="X55" s="19"/>
      <c r="Y55" s="23">
        <f>ROUND(W55, 3)</f>
        <v>8.1530000000000005</v>
      </c>
      <c r="Z55" s="23">
        <f>ROUND(V55,3)</f>
        <v>8.1530000000000005</v>
      </c>
      <c r="AA55" s="24"/>
      <c r="AB55" s="2"/>
      <c r="AC55" s="2"/>
      <c r="AD55" s="2"/>
      <c r="AE55" s="2"/>
      <c r="AF55" s="2"/>
      <c r="AG55" s="27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</row>
    <row r="56" spans="1:92" x14ac:dyDescent="0.25">
      <c r="A56" s="2"/>
      <c r="B56" s="2"/>
      <c r="C56" s="2"/>
      <c r="D56" s="8" t="s">
        <v>5</v>
      </c>
      <c r="E56" s="31" t="str">
        <f t="shared" si="13"/>
        <v>800</v>
      </c>
      <c r="F56" s="31" t="s">
        <v>33</v>
      </c>
      <c r="G56" s="31" t="s">
        <v>33</v>
      </c>
      <c r="H56" s="32">
        <f>totalFlex1H_quarter3+totalFlex15M_quarter3</f>
        <v>1.302</v>
      </c>
      <c r="R56" s="24"/>
      <c r="S56" s="24"/>
      <c r="T56" s="24"/>
      <c r="U56" s="15" t="s">
        <v>63</v>
      </c>
      <c r="V56" s="19">
        <f>V$54</f>
        <v>8.1530000000000005</v>
      </c>
      <c r="W56" s="19">
        <f>X56+W55</f>
        <v>8.1530000000000005</v>
      </c>
      <c r="X56" s="19">
        <f>V56-Y55</f>
        <v>0</v>
      </c>
      <c r="Y56" s="23">
        <f>ROUND(W56, 3)</f>
        <v>8.1530000000000005</v>
      </c>
      <c r="Z56" s="23">
        <f>ROUND(V56,3)</f>
        <v>8.1530000000000005</v>
      </c>
      <c r="AA56" s="24"/>
      <c r="AB56" s="2"/>
      <c r="AC56" s="2"/>
      <c r="AD56" s="2"/>
      <c r="AE56" s="2"/>
      <c r="AF56" s="2"/>
      <c r="AG56" s="27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</row>
    <row r="57" spans="1:92" x14ac:dyDescent="0.25">
      <c r="A57" s="2"/>
      <c r="B57" s="2"/>
      <c r="C57" s="2"/>
      <c r="D57" s="8" t="s">
        <v>6</v>
      </c>
      <c r="E57" s="31" t="str">
        <f t="shared" si="13"/>
        <v>800</v>
      </c>
      <c r="F57" s="31" t="s">
        <v>33</v>
      </c>
      <c r="G57" s="31" t="s">
        <v>33</v>
      </c>
      <c r="H57" s="32">
        <f>totalFlex1H_quarter4+totalFlex15M_quarter4</f>
        <v>1.403</v>
      </c>
      <c r="R57" s="24"/>
      <c r="S57" s="24"/>
      <c r="T57" s="24"/>
      <c r="U57" s="15" t="s">
        <v>64</v>
      </c>
      <c r="V57" s="19">
        <f>V$54</f>
        <v>8.1530000000000005</v>
      </c>
      <c r="W57" s="19">
        <f>X57+W56</f>
        <v>8.1530000000000005</v>
      </c>
      <c r="X57" s="19">
        <f>V57-Y56</f>
        <v>0</v>
      </c>
      <c r="Y57" s="23">
        <f>ROUND(W57, 3)</f>
        <v>8.1530000000000005</v>
      </c>
      <c r="Z57" s="23">
        <f>ROUND(V57,3)</f>
        <v>8.1530000000000005</v>
      </c>
      <c r="AA57" s="27"/>
      <c r="AB57" s="2"/>
      <c r="AC57" s="2"/>
      <c r="AD57" s="2"/>
      <c r="AE57" s="2"/>
      <c r="AF57" s="2"/>
      <c r="AG57" s="27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</row>
    <row r="58" spans="1:92" ht="23.25" x14ac:dyDescent="0.35">
      <c r="A58" s="2"/>
      <c r="B58" s="2"/>
      <c r="C58" s="2"/>
      <c r="E58" s="48" t="s">
        <v>37</v>
      </c>
      <c r="F58" s="49"/>
      <c r="G58" s="49"/>
      <c r="H58" s="50"/>
      <c r="R58" s="24"/>
      <c r="S58" s="24"/>
      <c r="T58" s="24"/>
      <c r="U58" s="15" t="s">
        <v>65</v>
      </c>
      <c r="V58" s="19">
        <f>V$54</f>
        <v>8.1530000000000005</v>
      </c>
      <c r="W58" s="19">
        <f>X58+W57</f>
        <v>8.1530000000000005</v>
      </c>
      <c r="X58" s="19">
        <f>V58-Y57</f>
        <v>0</v>
      </c>
      <c r="Y58" s="23">
        <f>ROUND(W58, 3)</f>
        <v>8.1530000000000005</v>
      </c>
      <c r="Z58" s="23">
        <f>ROUND(V58,3)</f>
        <v>8.1530000000000005</v>
      </c>
      <c r="AA58" s="27"/>
      <c r="AB58" s="2"/>
      <c r="AC58" s="2"/>
      <c r="AD58" s="2"/>
      <c r="AE58" s="2"/>
      <c r="AF58" s="2"/>
      <c r="AG58" s="27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</row>
    <row r="59" spans="1:92" ht="18.75" x14ac:dyDescent="0.3">
      <c r="A59" s="2"/>
      <c r="B59" s="2"/>
      <c r="C59" s="2"/>
      <c r="D59" s="4" t="s">
        <v>20</v>
      </c>
      <c r="E59" s="4" t="s">
        <v>18</v>
      </c>
      <c r="F59" s="5" t="s">
        <v>0</v>
      </c>
      <c r="G59" s="5" t="s">
        <v>1</v>
      </c>
      <c r="H59" s="5" t="s">
        <v>2</v>
      </c>
      <c r="R59" s="24"/>
      <c r="S59" s="24"/>
      <c r="T59" s="24"/>
      <c r="U59" s="24"/>
      <c r="V59" s="28">
        <f>ROUND(SUMIFS(Tabel13423232[TotalHour],Tabel13423232[type],"E20",Tabel13423232[resolution],"PT1H",Tabel13423232[from_ga],"800"),3)</f>
        <v>0</v>
      </c>
      <c r="W59" s="39" t="s">
        <v>49</v>
      </c>
      <c r="X59" s="40"/>
      <c r="Y59" s="28">
        <f>ROUND(SUM(Y61:Y64),3)</f>
        <v>0</v>
      </c>
      <c r="Z59" s="21">
        <f>SUM(Z61:Z64)</f>
        <v>0</v>
      </c>
      <c r="AA59" s="27"/>
      <c r="AB59" s="2"/>
      <c r="AC59" s="2"/>
      <c r="AD59" s="2"/>
      <c r="AE59" s="2"/>
      <c r="AF59" s="2"/>
      <c r="AG59" s="27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</row>
    <row r="60" spans="1:92" x14ac:dyDescent="0.25">
      <c r="C60" s="2"/>
      <c r="D60" s="8" t="s">
        <v>3</v>
      </c>
      <c r="E60" s="31" t="str">
        <f>$AD$2</f>
        <v>800</v>
      </c>
      <c r="F60" s="31" t="s">
        <v>33</v>
      </c>
      <c r="G60" s="31" t="s">
        <v>33</v>
      </c>
      <c r="H60" s="32">
        <f>totalProduction1H_quarter1+totalProduction15M_quarter1</f>
        <v>4.2469999999999999</v>
      </c>
      <c r="R60" s="24"/>
      <c r="S60" s="24"/>
      <c r="T60" s="24"/>
      <c r="U60" s="6" t="s">
        <v>32</v>
      </c>
      <c r="V60" s="9">
        <f>SUMIFS(Tabel13423232[TotalHour],Tabel13423232[type],"E20",Tabel13423232[resolution],"PT1H",Tabel13423232[from_ga],"800")/4</f>
        <v>0</v>
      </c>
      <c r="W60" s="7" t="s">
        <v>45</v>
      </c>
      <c r="X60" s="7" t="s">
        <v>46</v>
      </c>
      <c r="Y60" s="7" t="s">
        <v>47</v>
      </c>
      <c r="Z60" s="7" t="s">
        <v>48</v>
      </c>
      <c r="AA60" s="27"/>
      <c r="AB60" s="2"/>
      <c r="AC60" s="2"/>
      <c r="AD60" s="2"/>
      <c r="AE60" s="2"/>
      <c r="AF60" s="2"/>
      <c r="AG60" s="27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</row>
    <row r="61" spans="1:92" x14ac:dyDescent="0.25">
      <c r="C61" s="2"/>
      <c r="D61" s="8" t="s">
        <v>4</v>
      </c>
      <c r="E61" s="31" t="str">
        <f t="shared" ref="E61:E63" si="14">$AD$2</f>
        <v>800</v>
      </c>
      <c r="F61" s="31" t="s">
        <v>33</v>
      </c>
      <c r="G61" s="31" t="s">
        <v>33</v>
      </c>
      <c r="H61" s="32">
        <f>totalProduction1H_quarter2+totalProduction15M_quarter2</f>
        <v>4.2480000000000002</v>
      </c>
      <c r="R61" s="24"/>
      <c r="S61" s="24"/>
      <c r="T61" s="24"/>
      <c r="U61" s="15" t="s">
        <v>66</v>
      </c>
      <c r="V61" s="19">
        <f>V$60</f>
        <v>0</v>
      </c>
      <c r="W61" s="19">
        <f>V61</f>
        <v>0</v>
      </c>
      <c r="X61" s="19"/>
      <c r="Y61" s="23">
        <f>ROUND(W61, 3)</f>
        <v>0</v>
      </c>
      <c r="Z61" s="23">
        <f>ROUND(V61,3)</f>
        <v>0</v>
      </c>
      <c r="AA61" s="27"/>
      <c r="AB61" s="2"/>
      <c r="AC61" s="2"/>
      <c r="AD61" s="2"/>
      <c r="AE61" s="2"/>
      <c r="AF61" s="2"/>
      <c r="AG61" s="27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</row>
    <row r="62" spans="1:92" x14ac:dyDescent="0.25">
      <c r="C62" s="2"/>
      <c r="D62" s="8" t="s">
        <v>5</v>
      </c>
      <c r="E62" s="31" t="str">
        <f t="shared" si="14"/>
        <v>800</v>
      </c>
      <c r="F62" s="31" t="s">
        <v>33</v>
      </c>
      <c r="G62" s="31" t="s">
        <v>33</v>
      </c>
      <c r="H62" s="32">
        <f>totalProduction1H_quarter3+totalProduction15M_quarter3</f>
        <v>4.2469999999999999</v>
      </c>
      <c r="R62" s="24"/>
      <c r="S62" s="24"/>
      <c r="T62" s="24"/>
      <c r="U62" s="15" t="s">
        <v>67</v>
      </c>
      <c r="V62" s="19">
        <f>V$60</f>
        <v>0</v>
      </c>
      <c r="W62" s="19">
        <f>X62+W61</f>
        <v>0</v>
      </c>
      <c r="X62" s="19">
        <f>V62-Y61</f>
        <v>0</v>
      </c>
      <c r="Y62" s="23">
        <f>ROUND(W62, 3)</f>
        <v>0</v>
      </c>
      <c r="Z62" s="23">
        <f>ROUND(V62,3)</f>
        <v>0</v>
      </c>
      <c r="AA62" s="27"/>
      <c r="AB62" s="2"/>
      <c r="AC62" s="2"/>
      <c r="AD62" s="2"/>
      <c r="AE62" s="2"/>
      <c r="AF62" s="2"/>
      <c r="AG62" s="27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</row>
    <row r="63" spans="1:92" x14ac:dyDescent="0.25">
      <c r="C63" s="2"/>
      <c r="D63" s="8" t="s">
        <v>6</v>
      </c>
      <c r="E63" s="31" t="str">
        <f t="shared" si="14"/>
        <v>800</v>
      </c>
      <c r="F63" s="31" t="s">
        <v>33</v>
      </c>
      <c r="G63" s="31" t="s">
        <v>33</v>
      </c>
      <c r="H63" s="32">
        <f>totalProduction1H_quarter4+totalProduction15M_quarter4</f>
        <v>4.2469999999999999</v>
      </c>
      <c r="R63" s="24"/>
      <c r="S63" s="24"/>
      <c r="T63" s="24"/>
      <c r="U63" s="15" t="s">
        <v>68</v>
      </c>
      <c r="V63" s="19">
        <f>V$60</f>
        <v>0</v>
      </c>
      <c r="W63" s="19">
        <f>X63+W62</f>
        <v>0</v>
      </c>
      <c r="X63" s="19">
        <f>V63-Y62</f>
        <v>0</v>
      </c>
      <c r="Y63" s="23">
        <f>ROUND(W63, 3)</f>
        <v>0</v>
      </c>
      <c r="Z63" s="23">
        <f>ROUND(V63,3)</f>
        <v>0</v>
      </c>
      <c r="AA63" s="27"/>
      <c r="AB63" s="2"/>
      <c r="AC63" s="2"/>
      <c r="AD63" s="2"/>
      <c r="AE63" s="2"/>
      <c r="AF63" s="2"/>
      <c r="AG63" s="27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</row>
    <row r="64" spans="1:92" ht="23.25" x14ac:dyDescent="0.35">
      <c r="C64" s="2"/>
      <c r="E64" s="48" t="s">
        <v>38</v>
      </c>
      <c r="F64" s="49"/>
      <c r="G64" s="49"/>
      <c r="H64" s="50"/>
      <c r="R64" s="24"/>
      <c r="S64" s="24"/>
      <c r="T64" s="24"/>
      <c r="U64" s="15" t="s">
        <v>69</v>
      </c>
      <c r="V64" s="19">
        <f>V$60</f>
        <v>0</v>
      </c>
      <c r="W64" s="19">
        <f>X64+W63</f>
        <v>0</v>
      </c>
      <c r="X64" s="19">
        <f>V64-Y63</f>
        <v>0</v>
      </c>
      <c r="Y64" s="23">
        <f>ROUND(W64, 3)</f>
        <v>0</v>
      </c>
      <c r="Z64" s="23">
        <f>ROUND(V64,3)</f>
        <v>0</v>
      </c>
      <c r="AA64" s="27"/>
      <c r="AB64" s="2"/>
      <c r="AC64" s="2"/>
      <c r="AD64" s="2"/>
      <c r="AE64" s="2"/>
      <c r="AF64" s="2"/>
      <c r="AG64" s="27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</row>
    <row r="65" spans="3:92" ht="18.75" x14ac:dyDescent="0.3">
      <c r="C65" s="2"/>
      <c r="D65" s="4" t="s">
        <v>20</v>
      </c>
      <c r="E65" s="4" t="s">
        <v>18</v>
      </c>
      <c r="F65" s="5" t="s">
        <v>0</v>
      </c>
      <c r="G65" s="5" t="s">
        <v>1</v>
      </c>
      <c r="H65" s="5" t="s">
        <v>2</v>
      </c>
      <c r="R65" s="24"/>
      <c r="S65" s="24"/>
      <c r="T65" s="24"/>
      <c r="U65" s="24"/>
      <c r="V65" s="28">
        <f>ROUND(SUMIFS(Tabel13423232[TotalHour],Tabel13423232[type],"E17",Tabel13423232[resolution],"PT1H"),3)</f>
        <v>9.0120000000000005</v>
      </c>
      <c r="W65" s="52" t="s">
        <v>49</v>
      </c>
      <c r="X65" s="53"/>
      <c r="Y65" s="28">
        <f>ROUND(SUM(Y67:Y70),3)</f>
        <v>9.0120000000000005</v>
      </c>
      <c r="Z65" s="21">
        <f>SUM(Z67:Z70)</f>
        <v>9.0120000000000005</v>
      </c>
      <c r="AA65" s="27"/>
      <c r="AB65" s="2"/>
      <c r="AC65" s="2"/>
      <c r="AD65" s="2"/>
      <c r="AE65" s="2"/>
      <c r="AF65" s="2"/>
      <c r="AG65" s="27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</row>
    <row r="66" spans="3:92" x14ac:dyDescent="0.25">
      <c r="C66" s="2"/>
      <c r="D66" s="8" t="s">
        <v>3</v>
      </c>
      <c r="E66" s="31" t="str">
        <f>$AD$2</f>
        <v>800</v>
      </c>
      <c r="F66" s="31" t="s">
        <v>33</v>
      </c>
      <c r="G66" s="31" t="s">
        <v>33</v>
      </c>
      <c r="H66" s="32">
        <f>totalProduction1H_quarter1+totalProduction15M_quarter1+netEx_quarter1-totalFlex1H_quarter1-totalFlex15M_quarter1-totalNonprofiled1H_quarter1-totalNonprofiled15M_quarter1</f>
        <v>9.0470000000000006</v>
      </c>
      <c r="R66" s="24"/>
      <c r="S66" s="24"/>
      <c r="T66" s="24"/>
      <c r="U66" s="7" t="s">
        <v>27</v>
      </c>
      <c r="V66" s="9">
        <f>SUMIFS(Tabel13423232[TotalHour],Tabel13423232[type],"E17",Tabel13423232[resolution],"PT1H")/4</f>
        <v>2.2530000000000001</v>
      </c>
      <c r="W66" s="7" t="s">
        <v>45</v>
      </c>
      <c r="X66" s="7" t="s">
        <v>46</v>
      </c>
      <c r="Y66" s="7" t="s">
        <v>47</v>
      </c>
      <c r="Z66" s="7" t="s">
        <v>48</v>
      </c>
      <c r="AA66" s="27"/>
      <c r="AB66" s="2"/>
      <c r="AC66" s="2"/>
      <c r="AD66" s="2"/>
      <c r="AE66" s="2"/>
      <c r="AF66" s="2"/>
      <c r="AG66" s="27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</row>
    <row r="67" spans="3:92" x14ac:dyDescent="0.25">
      <c r="C67" s="2"/>
      <c r="D67" s="8" t="s">
        <v>4</v>
      </c>
      <c r="E67" s="31" t="str">
        <f t="shared" ref="E67:E69" si="15">$AD$2</f>
        <v>800</v>
      </c>
      <c r="F67" s="31" t="s">
        <v>33</v>
      </c>
      <c r="G67" s="31" t="s">
        <v>33</v>
      </c>
      <c r="H67" s="32">
        <f>totalProduction1H_quarter2+totalProduction15M_quarter2+netEx_quarter2-totalFlex1H_quarter2-totalFlex15M_quarter2-totalNonprofiled1H_quarter2-totalNonprofiled15M_quarter2</f>
        <v>7.947000000000001</v>
      </c>
      <c r="R67" s="24"/>
      <c r="S67" s="24"/>
      <c r="T67" s="24"/>
      <c r="U67" s="15" t="s">
        <v>70</v>
      </c>
      <c r="V67" s="19">
        <f>V$66</f>
        <v>2.2530000000000001</v>
      </c>
      <c r="W67" s="19">
        <f>V67</f>
        <v>2.2530000000000001</v>
      </c>
      <c r="X67" s="19"/>
      <c r="Y67" s="23">
        <f>ROUND(W67, 3)</f>
        <v>2.2530000000000001</v>
      </c>
      <c r="Z67" s="23">
        <f>ROUND(V67,3)</f>
        <v>2.2530000000000001</v>
      </c>
      <c r="AA67" s="27"/>
      <c r="AB67" s="2"/>
      <c r="AC67" s="2"/>
      <c r="AD67" s="2"/>
      <c r="AE67" s="2"/>
      <c r="AF67" s="2"/>
      <c r="AG67" s="27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</row>
    <row r="68" spans="3:92" x14ac:dyDescent="0.25">
      <c r="C68" s="2"/>
      <c r="D68" s="8" t="s">
        <v>5</v>
      </c>
      <c r="E68" s="31" t="str">
        <f t="shared" si="15"/>
        <v>800</v>
      </c>
      <c r="F68" s="31" t="s">
        <v>33</v>
      </c>
      <c r="G68" s="31" t="s">
        <v>33</v>
      </c>
      <c r="H68" s="32">
        <f>totalProduction1H_quarter3+totalProduction15M_quarter3+netEx_quarter3-totalFlex1H_quarter3-totalFlex15M_quarter3-totalNonprofiled1H_quarter3-totalNonprofiled15M_quarter3</f>
        <v>6.847999999999999</v>
      </c>
      <c r="R68" s="24"/>
      <c r="S68" s="24"/>
      <c r="T68" s="24"/>
      <c r="U68" s="15" t="s">
        <v>71</v>
      </c>
      <c r="V68" s="19">
        <f>V$66</f>
        <v>2.2530000000000001</v>
      </c>
      <c r="W68" s="19">
        <f>X68+W67</f>
        <v>2.2530000000000001</v>
      </c>
      <c r="X68" s="19">
        <f>V68-Y67</f>
        <v>0</v>
      </c>
      <c r="Y68" s="23">
        <f>ROUND(W68, 3)</f>
        <v>2.2530000000000001</v>
      </c>
      <c r="Z68" s="23">
        <f>ROUND(V68,3)</f>
        <v>2.2530000000000001</v>
      </c>
      <c r="AA68" s="27"/>
      <c r="AB68" s="2"/>
      <c r="AC68" s="2"/>
      <c r="AD68" s="2"/>
      <c r="AE68" s="2"/>
      <c r="AF68" s="2"/>
      <c r="AG68" s="27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</row>
    <row r="69" spans="3:92" x14ac:dyDescent="0.25">
      <c r="C69" s="2"/>
      <c r="D69" s="8" t="s">
        <v>6</v>
      </c>
      <c r="E69" s="31" t="str">
        <f t="shared" si="15"/>
        <v>800</v>
      </c>
      <c r="F69" s="31" t="s">
        <v>33</v>
      </c>
      <c r="G69" s="31" t="s">
        <v>33</v>
      </c>
      <c r="H69" s="32">
        <f>totalProduction1H_quarter4+totalProduction15M_quarter4+netEx_quarter4-totalFlex1H_quarter4-totalFlex15M_quarter4-totalNonprofiled1H_quarter4-totalNonprofiled15M_quarter4</f>
        <v>-10.253</v>
      </c>
      <c r="J69" s="2"/>
      <c r="R69" s="24"/>
      <c r="S69" s="24"/>
      <c r="T69" s="24"/>
      <c r="U69" s="15" t="s">
        <v>72</v>
      </c>
      <c r="V69" s="19">
        <f>V$66</f>
        <v>2.2530000000000001</v>
      </c>
      <c r="W69" s="19">
        <f>X69+W68</f>
        <v>2.2530000000000001</v>
      </c>
      <c r="X69" s="19">
        <f>V69-Y68</f>
        <v>0</v>
      </c>
      <c r="Y69" s="23">
        <f>ROUND(W69, 3)</f>
        <v>2.2530000000000001</v>
      </c>
      <c r="Z69" s="23">
        <f>ROUND(V69,3)</f>
        <v>2.2530000000000001</v>
      </c>
      <c r="AA69" s="27"/>
      <c r="AB69" s="2"/>
      <c r="AC69" s="2"/>
      <c r="AD69" s="2"/>
      <c r="AE69" s="2"/>
      <c r="AF69" s="2"/>
      <c r="AG69" s="27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</row>
    <row r="70" spans="3:92" ht="23.25" x14ac:dyDescent="0.35">
      <c r="C70" s="2"/>
      <c r="E70" s="48" t="s">
        <v>40</v>
      </c>
      <c r="F70" s="49"/>
      <c r="G70" s="49"/>
      <c r="H70" s="50"/>
      <c r="R70" s="24"/>
      <c r="S70" s="24"/>
      <c r="T70" s="27"/>
      <c r="U70" s="15" t="s">
        <v>73</v>
      </c>
      <c r="V70" s="19">
        <f>V$66</f>
        <v>2.2530000000000001</v>
      </c>
      <c r="W70" s="19">
        <f>X70+W69</f>
        <v>2.2530000000000001</v>
      </c>
      <c r="X70" s="19">
        <f>V70-Y69</f>
        <v>0</v>
      </c>
      <c r="Y70" s="23">
        <f>ROUND(W70, 3)</f>
        <v>2.2530000000000001</v>
      </c>
      <c r="Z70" s="23">
        <f>ROUND(V70,3)</f>
        <v>2.2530000000000001</v>
      </c>
      <c r="AA70" s="27"/>
      <c r="AB70" s="2"/>
      <c r="AC70" s="2"/>
      <c r="AD70" s="2"/>
      <c r="AE70" s="2"/>
      <c r="AF70" s="2"/>
      <c r="AG70" s="27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</row>
    <row r="71" spans="3:92" ht="18.75" x14ac:dyDescent="0.3">
      <c r="C71" s="2"/>
      <c r="D71" s="4" t="s">
        <v>20</v>
      </c>
      <c r="E71" s="4" t="s">
        <v>18</v>
      </c>
      <c r="F71" s="5" t="s">
        <v>0</v>
      </c>
      <c r="G71" s="5" t="s">
        <v>1</v>
      </c>
      <c r="H71" s="5" t="s">
        <v>2</v>
      </c>
      <c r="R71" s="24"/>
      <c r="S71" s="27"/>
      <c r="T71" s="27"/>
      <c r="U71" s="24"/>
      <c r="V71" s="24"/>
      <c r="W71" s="24"/>
      <c r="X71" s="24"/>
      <c r="Y71" s="24"/>
      <c r="Z71" s="24"/>
      <c r="AA71" s="27"/>
      <c r="AB71" s="2"/>
      <c r="AC71" s="2"/>
      <c r="AD71" s="2"/>
      <c r="AE71" s="2"/>
      <c r="AF71" s="2"/>
      <c r="AG71" s="27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</row>
    <row r="72" spans="3:92" x14ac:dyDescent="0.25">
      <c r="C72" s="2"/>
      <c r="D72" s="15" t="s">
        <v>77</v>
      </c>
      <c r="E72" s="31" t="str">
        <f>$AD$2</f>
        <v>800</v>
      </c>
      <c r="F72" s="31" t="s">
        <v>33</v>
      </c>
      <c r="G72" s="31" t="s">
        <v>33</v>
      </c>
      <c r="H72" s="32">
        <f>IF(gridLoss1H_quarter4&gt;0,gridLoss1H_quarter4,0)</f>
        <v>0</v>
      </c>
      <c r="R72" s="24"/>
      <c r="S72" s="27"/>
      <c r="T72" s="27"/>
      <c r="U72" s="24"/>
      <c r="V72" s="24"/>
      <c r="W72" s="24"/>
      <c r="X72" s="24"/>
      <c r="Y72" s="24"/>
      <c r="Z72" s="24"/>
      <c r="AA72" s="27"/>
      <c r="AB72" s="2"/>
      <c r="AC72" s="2"/>
      <c r="AD72" s="2"/>
      <c r="AE72" s="2"/>
      <c r="AF72" s="2"/>
      <c r="AG72" s="27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</row>
    <row r="73" spans="3:92" x14ac:dyDescent="0.25">
      <c r="C73" s="2"/>
      <c r="D73" s="15" t="s">
        <v>76</v>
      </c>
      <c r="E73" s="31" t="str">
        <f t="shared" ref="E73:E75" si="16">$AD$2</f>
        <v>800</v>
      </c>
      <c r="F73" s="31" t="s">
        <v>33</v>
      </c>
      <c r="G73" s="31" t="s">
        <v>33</v>
      </c>
      <c r="H73" s="32">
        <f>IF(gridLoss1H_quarter3&gt;0,gridLoss1H_quarter3,0)</f>
        <v>6.847999999999999</v>
      </c>
      <c r="S73" s="2"/>
      <c r="T73" s="2"/>
      <c r="AA73" s="2"/>
      <c r="AB73" s="2"/>
      <c r="AC73" s="2"/>
      <c r="AD73" s="2"/>
      <c r="AE73" s="2"/>
      <c r="AF73" s="2"/>
      <c r="AG73" s="27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</row>
    <row r="74" spans="3:92" x14ac:dyDescent="0.25">
      <c r="C74" s="2"/>
      <c r="D74" s="15" t="s">
        <v>75</v>
      </c>
      <c r="E74" s="31" t="str">
        <f t="shared" si="16"/>
        <v>800</v>
      </c>
      <c r="F74" s="31" t="s">
        <v>33</v>
      </c>
      <c r="G74" s="31" t="s">
        <v>33</v>
      </c>
      <c r="H74" s="32">
        <f>IF(gridLoss1H_quarter2&gt;0,gridLoss1H_quarter2,0)</f>
        <v>7.947000000000001</v>
      </c>
      <c r="I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7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</row>
    <row r="75" spans="3:92" x14ac:dyDescent="0.25">
      <c r="C75" s="2"/>
      <c r="D75" s="15" t="s">
        <v>74</v>
      </c>
      <c r="E75" s="31" t="str">
        <f t="shared" si="16"/>
        <v>800</v>
      </c>
      <c r="F75" s="31" t="s">
        <v>33</v>
      </c>
      <c r="G75" s="31" t="s">
        <v>33</v>
      </c>
      <c r="H75" s="32">
        <f>IF(gridLoss1H_quarter1&gt;0,gridLoss1H_quarter1,0)</f>
        <v>9.0470000000000006</v>
      </c>
      <c r="I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7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</row>
    <row r="76" spans="3:92" ht="23.25" x14ac:dyDescent="0.35">
      <c r="C76" s="2"/>
      <c r="E76" s="48" t="s">
        <v>41</v>
      </c>
      <c r="F76" s="49"/>
      <c r="G76" s="49"/>
      <c r="H76" s="5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7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</row>
    <row r="77" spans="3:92" ht="18.75" x14ac:dyDescent="0.3">
      <c r="C77" s="2"/>
      <c r="D77" s="4" t="s">
        <v>20</v>
      </c>
      <c r="E77" s="4" t="s">
        <v>18</v>
      </c>
      <c r="F77" s="5" t="s">
        <v>0</v>
      </c>
      <c r="G77" s="5" t="s">
        <v>1</v>
      </c>
      <c r="H77" s="5" t="s">
        <v>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7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</row>
    <row r="78" spans="3:92" x14ac:dyDescent="0.25">
      <c r="C78" s="2"/>
      <c r="D78" s="15" t="s">
        <v>77</v>
      </c>
      <c r="E78" s="31" t="str">
        <f>$AD$2</f>
        <v>800</v>
      </c>
      <c r="F78" s="31" t="s">
        <v>33</v>
      </c>
      <c r="G78" s="31" t="s">
        <v>33</v>
      </c>
      <c r="H78" s="32">
        <f>IF(gridLoss1H_quarter4&lt;0,gridLoss1H_quarter4*-1,0)</f>
        <v>10.253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7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</row>
    <row r="79" spans="3:92" x14ac:dyDescent="0.25">
      <c r="C79" s="2"/>
      <c r="D79" s="15" t="s">
        <v>76</v>
      </c>
      <c r="E79" s="31" t="str">
        <f t="shared" ref="E79:E81" si="17">$AD$2</f>
        <v>800</v>
      </c>
      <c r="F79" s="31" t="s">
        <v>33</v>
      </c>
      <c r="G79" s="31" t="s">
        <v>33</v>
      </c>
      <c r="H79" s="32">
        <f>IF(gridLoss1H_quarter3&lt;0,gridLoss1H_quarter3*-1,0)</f>
        <v>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7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</row>
    <row r="80" spans="3:92" x14ac:dyDescent="0.25">
      <c r="C80" s="2"/>
      <c r="D80" s="15" t="s">
        <v>75</v>
      </c>
      <c r="E80" s="31" t="str">
        <f t="shared" si="17"/>
        <v>800</v>
      </c>
      <c r="F80" s="31" t="s">
        <v>33</v>
      </c>
      <c r="G80" s="31" t="s">
        <v>33</v>
      </c>
      <c r="H80" s="32">
        <f>IF(gridLoss1H_quarter2&lt;0,gridLoss1H_quarter2*-1,0)</f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7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</row>
    <row r="81" spans="3:92" x14ac:dyDescent="0.25">
      <c r="C81" s="2"/>
      <c r="D81" s="15" t="s">
        <v>74</v>
      </c>
      <c r="E81" s="31" t="str">
        <f t="shared" si="17"/>
        <v>800</v>
      </c>
      <c r="F81" s="31" t="s">
        <v>33</v>
      </c>
      <c r="G81" s="31" t="s">
        <v>33</v>
      </c>
      <c r="H81" s="32">
        <f>IF(gridLoss1H_quarter1&lt;0,(gridLoss1H_quarter1)*-1,0)</f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7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</row>
    <row r="82" spans="3:92" ht="23.25" x14ac:dyDescent="0.35">
      <c r="C82" s="2"/>
      <c r="E82" s="48" t="s">
        <v>79</v>
      </c>
      <c r="F82" s="49"/>
      <c r="G82" s="49"/>
      <c r="H82" s="5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7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</row>
    <row r="83" spans="3:92" ht="18.75" x14ac:dyDescent="0.3">
      <c r="C83" s="2"/>
      <c r="D83" s="4" t="s">
        <v>20</v>
      </c>
      <c r="E83" s="4" t="s">
        <v>18</v>
      </c>
      <c r="F83" s="5" t="s">
        <v>0</v>
      </c>
      <c r="G83" s="5" t="s">
        <v>1</v>
      </c>
      <c r="H83" s="5" t="s">
        <v>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7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</row>
    <row r="84" spans="3:92" x14ac:dyDescent="0.25">
      <c r="C84" s="2"/>
      <c r="D84" s="15" t="s">
        <v>74</v>
      </c>
      <c r="E84" s="31" t="str">
        <f>$AD$2</f>
        <v>800</v>
      </c>
      <c r="F84" s="31" t="s">
        <v>33</v>
      </c>
      <c r="G84" s="31" t="s">
        <v>33</v>
      </c>
      <c r="H84" s="32" t="str">
        <f>SUBSTITUTE(netEx_quarter1+totalProduction1H_quarter1+totalProduction15M_quarter1+negGridLossQuarter1,",",".")</f>
        <v>12.4</v>
      </c>
      <c r="I84" s="37"/>
      <c r="J84" s="2"/>
      <c r="U84" s="2"/>
      <c r="V84" s="51" t="s">
        <v>84</v>
      </c>
      <c r="W84" s="51"/>
      <c r="X84" s="51"/>
      <c r="Y84" s="51"/>
      <c r="Z84" s="51"/>
      <c r="AA84" s="2"/>
      <c r="AB84" s="2"/>
      <c r="AC84" s="2"/>
      <c r="AD84" s="2"/>
      <c r="AE84" s="2"/>
      <c r="AF84" s="2"/>
      <c r="AG84" s="27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</row>
    <row r="85" spans="3:92" x14ac:dyDescent="0.25">
      <c r="C85" s="2"/>
      <c r="D85" s="15" t="s">
        <v>75</v>
      </c>
      <c r="E85" s="31" t="str">
        <f t="shared" ref="E85:E87" si="18">$AD$2</f>
        <v>800</v>
      </c>
      <c r="F85" s="31" t="s">
        <v>33</v>
      </c>
      <c r="G85" s="31" t="s">
        <v>33</v>
      </c>
      <c r="H85" s="32" t="str">
        <f>SUBSTITUTE(netEx_quarter2+totalProduction1H_quarter2+totalProduction15M_quarter2+negGridLossQuarter2,",",".")</f>
        <v>12.401</v>
      </c>
      <c r="I85" s="2"/>
      <c r="J85" s="2"/>
      <c r="K85" s="2"/>
      <c r="U85" s="2"/>
      <c r="V85" s="6" t="s">
        <v>14</v>
      </c>
      <c r="W85" s="6" t="s">
        <v>86</v>
      </c>
      <c r="X85" s="6" t="s">
        <v>45</v>
      </c>
      <c r="Y85" s="6" t="s">
        <v>46</v>
      </c>
      <c r="Z85" s="6" t="s">
        <v>47</v>
      </c>
      <c r="AA85" s="2"/>
      <c r="AB85" s="2"/>
      <c r="AC85" s="2"/>
      <c r="AD85" s="2"/>
      <c r="AE85" s="2"/>
      <c r="AF85" s="2"/>
      <c r="AG85" s="27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</row>
    <row r="86" spans="3:92" x14ac:dyDescent="0.25">
      <c r="C86" s="2"/>
      <c r="D86" s="15" t="s">
        <v>76</v>
      </c>
      <c r="E86" s="31" t="str">
        <f t="shared" si="18"/>
        <v>800</v>
      </c>
      <c r="F86" s="31" t="s">
        <v>33</v>
      </c>
      <c r="G86" s="31" t="s">
        <v>33</v>
      </c>
      <c r="H86" s="32" t="str">
        <f>SUBSTITUTE(netEx_quarter3+totalProduction1H_quarter3+totalProduction15M_quarter3+negGridLossQuarter3,",",".")</f>
        <v>12.4</v>
      </c>
      <c r="I86" s="2"/>
      <c r="J86" s="2"/>
      <c r="R86" s="2"/>
      <c r="S86" s="2"/>
      <c r="U86" s="15" t="s">
        <v>74</v>
      </c>
      <c r="V86" s="26" t="e" cm="1">
        <f t="array" aca="1" ref="V86" ca="1">SUMIFS(INDIRECT("Tabel1342323["&amp;U86&amp;"]"),Tabel13423232[resolution],"PT15M",Tabel13423232[from_ga],INDIRECT("AH"&amp;ROUND(ROW()*0.25-19,0)))-SUMIFS(INDIRECT("Tabel1342323["&amp;U86&amp;"]"),Tabel13423232[resolution],"PT15M",Tabel13423232[to_ga],INDIRECT("AH"&amp;ROUND(ROW()*0.25-19,0)))</f>
        <v>#REF!</v>
      </c>
      <c r="W86" s="6">
        <f>(SUMIFS(Tabel13423232[Quarter1],Tabel13423232[resolution],"PT1H",Tabel13423232[from_ga],AH$3)-SUMIFS(Tabel13423232[Quarter1],Tabel13423232[resolution],"PT1H",Tabel13423232[to_ga],AH$3))/4</f>
        <v>7.6252500000000003</v>
      </c>
      <c r="X86" s="16">
        <f>W86</f>
        <v>7.6252500000000003</v>
      </c>
      <c r="Y86" s="16"/>
      <c r="Z86" s="16">
        <f t="shared" ref="Z86:Z109" si="19">ROUND(X86, 3)</f>
        <v>7.625</v>
      </c>
      <c r="AA86" s="2"/>
      <c r="AB86" s="2"/>
      <c r="AC86" s="2"/>
      <c r="AD86" s="2"/>
      <c r="AE86" s="2"/>
      <c r="AF86" s="2"/>
      <c r="AG86" s="27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</row>
    <row r="87" spans="3:92" x14ac:dyDescent="0.25">
      <c r="C87" s="2"/>
      <c r="D87" s="15" t="s">
        <v>77</v>
      </c>
      <c r="E87" s="31" t="str">
        <f t="shared" si="18"/>
        <v>800</v>
      </c>
      <c r="F87" s="34" t="s">
        <v>33</v>
      </c>
      <c r="G87" s="34" t="s">
        <v>33</v>
      </c>
      <c r="H87" s="32" t="str">
        <f>SUBSTITUTE(netEx_quarter4+totalProduction1H_quarter4+totalProduction15M_quarter4+negGridLossQuarter4,",",".")</f>
        <v>22.653</v>
      </c>
      <c r="I87" s="2"/>
      <c r="J87" s="2"/>
      <c r="R87" s="2"/>
      <c r="S87" s="2"/>
      <c r="U87" s="15" t="s">
        <v>75</v>
      </c>
      <c r="V87" s="26" t="e" cm="1">
        <f t="array" aca="1" ref="V87" ca="1">SUMIFS(INDIRECT("Tabel1342323["&amp;U87&amp;"]"),Tabel13423232[resolution],"PT15M",Tabel13423232[from_ga],INDIRECT("AH"&amp;ROUND(ROW()*0.25-19,0)))-SUMIFS(INDIRECT("Tabel1342323["&amp;U87&amp;"]"),Tabel13423232[resolution],"PT15M",Tabel13423232[to_ga],INDIRECT("AH"&amp;ROUND(ROW()*0.25-19,0)))</f>
        <v>#REF!</v>
      </c>
      <c r="W87" s="16">
        <f>W$86</f>
        <v>7.6252500000000003</v>
      </c>
      <c r="X87" s="16">
        <f>Y87+X86</f>
        <v>7.6255000000000006</v>
      </c>
      <c r="Y87" s="16">
        <f>W87-Z86</f>
        <v>2.5000000000030553E-4</v>
      </c>
      <c r="Z87" s="16">
        <f t="shared" si="19"/>
        <v>7.6260000000000003</v>
      </c>
      <c r="AA87" s="2"/>
      <c r="AB87" s="2"/>
      <c r="AC87" s="2"/>
      <c r="AD87" s="2"/>
      <c r="AE87" s="2"/>
      <c r="AF87" s="2"/>
      <c r="AG87" s="27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</row>
    <row r="88" spans="3:92" ht="23.25" x14ac:dyDescent="0.35">
      <c r="C88" s="2"/>
      <c r="E88" s="48" t="s">
        <v>80</v>
      </c>
      <c r="F88" s="49"/>
      <c r="G88" s="49"/>
      <c r="H88" s="49"/>
      <c r="I88" s="50"/>
      <c r="J88" s="2"/>
      <c r="R88" s="2"/>
      <c r="S88" s="2"/>
      <c r="U88" s="15" t="s">
        <v>76</v>
      </c>
      <c r="V88" s="26" t="e" cm="1">
        <f t="array" aca="1" ref="V88" ca="1">SUMIFS(INDIRECT("Tabel1342323["&amp;U88&amp;"]"),Tabel13423232[resolution],"PT15M",Tabel13423232[from_ga],INDIRECT("AH"&amp;ROUND(ROW()*0.25-19,0)))-SUMIFS(INDIRECT("Tabel1342323["&amp;U88&amp;"]"),Tabel13423232[resolution],"PT15M",Tabel13423232[to_ga],INDIRECT("AH"&amp;ROUND(ROW()*0.25-19,0)))</f>
        <v>#REF!</v>
      </c>
      <c r="W88" s="16">
        <f>W$86</f>
        <v>7.6252500000000003</v>
      </c>
      <c r="X88" s="16">
        <f>Y88+X87</f>
        <v>7.6247500000000006</v>
      </c>
      <c r="Y88" s="16">
        <f>W88-Z87</f>
        <v>-7.5000000000002842E-4</v>
      </c>
      <c r="Z88" s="16">
        <f t="shared" si="19"/>
        <v>7.625</v>
      </c>
      <c r="AA88" s="2"/>
      <c r="AB88" s="2"/>
      <c r="AC88" s="2"/>
      <c r="AD88" s="2"/>
      <c r="AE88" s="2"/>
      <c r="AF88" s="2"/>
      <c r="AG88" s="27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</row>
    <row r="89" spans="3:92" ht="18.75" x14ac:dyDescent="0.3">
      <c r="C89" s="2"/>
      <c r="D89" s="4" t="s">
        <v>20</v>
      </c>
      <c r="E89" s="4" t="s">
        <v>18</v>
      </c>
      <c r="F89" s="5" t="s">
        <v>0</v>
      </c>
      <c r="G89" s="5" t="s">
        <v>1</v>
      </c>
      <c r="H89" s="5" t="s">
        <v>2</v>
      </c>
      <c r="I89" s="5" t="s">
        <v>87</v>
      </c>
      <c r="J89" s="2"/>
      <c r="R89" s="2"/>
      <c r="S89" s="2"/>
      <c r="U89" s="15" t="s">
        <v>77</v>
      </c>
      <c r="V89" s="26" t="e" cm="1">
        <f t="array" aca="1" ref="V89" ca="1">SUMIFS(INDIRECT("Tabel1342323["&amp;U89&amp;"]"),Tabel13423232[resolution],"PT15M",Tabel13423232[from_ga],INDIRECT("AH"&amp;ROUND(ROW()*0.25-19,0)))-SUMIFS(INDIRECT("Tabel1342323["&amp;U89&amp;"]"),Tabel13423232[resolution],"PT15M",Tabel13423232[to_ga],INDIRECT("AH"&amp;ROUND(ROW()*0.25-19,0)))</f>
        <v>#REF!</v>
      </c>
      <c r="W89" s="16">
        <f>W$86</f>
        <v>7.6252500000000003</v>
      </c>
      <c r="X89" s="16">
        <f>Y89+X88</f>
        <v>7.6250000000000009</v>
      </c>
      <c r="Y89" s="16">
        <f>W89-Z88</f>
        <v>2.5000000000030553E-4</v>
      </c>
      <c r="Z89" s="16">
        <f t="shared" si="19"/>
        <v>7.625</v>
      </c>
      <c r="AA89" s="2"/>
      <c r="AB89" s="2"/>
      <c r="AC89" s="2"/>
      <c r="AD89" s="2"/>
      <c r="AE89" s="2"/>
      <c r="AF89" s="2"/>
      <c r="AG89" s="27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</row>
    <row r="90" spans="3:92" x14ac:dyDescent="0.25">
      <c r="C90" s="2"/>
      <c r="D90" s="15" t="s">
        <v>74</v>
      </c>
      <c r="E90" s="31" t="str">
        <f t="shared" ref="E90:E113" si="20">IF(AND(ROW()&lt;86+(COUNTA(AH$2:AH$21)*4),ROW()&gt;89),$AH$2,"")</f>
        <v>800</v>
      </c>
      <c r="F90" s="31" t="str">
        <f>IF(E90&lt;&gt;"","null","")</f>
        <v>null</v>
      </c>
      <c r="G90" s="31" t="str">
        <f>IF(E90&lt;&gt;"","null","")</f>
        <v>null</v>
      </c>
      <c r="H90" s="32" t="e">
        <f t="shared" ref="H90:H112" ca="1" si="21">SUBSTITUTE(IF(E90="","",V86+Z86),",",".")</f>
        <v>#REF!</v>
      </c>
      <c r="I90" s="32" t="str" cm="1">
        <f t="array" aca="1" ref="I90" ca="1">IF(E90="","",INDIRECT("AH"&amp;ROUND((ROW()-80)*0.25,0)))</f>
        <v>801</v>
      </c>
      <c r="J90" s="2"/>
      <c r="R90" s="2"/>
      <c r="S90" s="2"/>
      <c r="U90" s="15" t="s">
        <v>74</v>
      </c>
      <c r="V90" s="26" t="e" cm="1">
        <f t="array" aca="1" ref="V90" ca="1">SUMIFS(INDIRECT("Tabel1342323["&amp;U90&amp;"]"),Tabel13423232[resolution],"PT15M",Tabel13423232[from_ga],INDIRECT("AH"&amp;ROUND(ROW()*0.25-19,0)))-SUMIFS(INDIRECT("Tabel1342323["&amp;U90&amp;"]"),Tabel13423232[resolution],"PT15M",Tabel13423232[to_ga],INDIRECT("AH"&amp;ROUND(ROW()*0.25-19,0)))</f>
        <v>#REF!</v>
      </c>
      <c r="W90" s="6">
        <f>(SUMIFS(Tabel13423232[Quarter1],Tabel13423232[resolution],"PT1H",Tabel13423232[from_ga],AH$4)-SUMIFS(Tabel13423232[Quarter1],Tabel13423232[resolution],"PT1H",Tabel13423232[to_ga],AH$4))/4</f>
        <v>0.52775000000000005</v>
      </c>
      <c r="X90" s="16">
        <f>W90</f>
        <v>0.52775000000000005</v>
      </c>
      <c r="Y90" s="16"/>
      <c r="Z90" s="16">
        <f t="shared" si="19"/>
        <v>0.52800000000000002</v>
      </c>
      <c r="AA90" s="2"/>
      <c r="AB90" s="2"/>
      <c r="AC90" s="2"/>
      <c r="AD90" s="2"/>
      <c r="AE90" s="2"/>
      <c r="AF90" s="2"/>
      <c r="AG90" s="27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</row>
    <row r="91" spans="3:92" x14ac:dyDescent="0.25">
      <c r="C91" s="2"/>
      <c r="D91" s="15" t="s">
        <v>75</v>
      </c>
      <c r="E91" s="31" t="str">
        <f t="shared" si="20"/>
        <v>800</v>
      </c>
      <c r="F91" s="31" t="str">
        <f t="shared" ref="F91:F113" si="22">IF(E91&lt;&gt;"","null","")</f>
        <v>null</v>
      </c>
      <c r="G91" s="31" t="str">
        <f t="shared" ref="G91:G113" si="23">IF(E91&lt;&gt;"","null","")</f>
        <v>null</v>
      </c>
      <c r="H91" s="32" t="e">
        <f t="shared" ca="1" si="21"/>
        <v>#REF!</v>
      </c>
      <c r="I91" s="32" t="str" cm="1">
        <f t="array" aca="1" ref="I91" ca="1">IF(E91="","",INDIRECT("AH"&amp;ROUND((ROW()-80)*0.25,0)))</f>
        <v>801</v>
      </c>
      <c r="J91" s="2"/>
      <c r="R91" s="2"/>
      <c r="U91" s="15" t="s">
        <v>75</v>
      </c>
      <c r="V91" s="26" t="e" cm="1">
        <f t="array" aca="1" ref="V91" ca="1">SUMIFS(INDIRECT("Tabel1342323["&amp;U91&amp;"]"),Tabel13423232[resolution],"PT15M",Tabel13423232[from_ga],INDIRECT("AH"&amp;ROUND(ROW()*0.25-19,0)))-SUMIFS(INDIRECT("Tabel1342323["&amp;U91&amp;"]"),Tabel13423232[resolution],"PT15M",Tabel13423232[to_ga],INDIRECT("AH"&amp;ROUND(ROW()*0.25-19,0)))</f>
        <v>#REF!</v>
      </c>
      <c r="W91" s="16">
        <f>W$90</f>
        <v>0.52775000000000005</v>
      </c>
      <c r="X91" s="16">
        <f>Y91+X90</f>
        <v>0.52750000000000008</v>
      </c>
      <c r="Y91" s="16">
        <f>W91-Z90</f>
        <v>-2.4999999999997247E-4</v>
      </c>
      <c r="Z91" s="16">
        <f t="shared" si="19"/>
        <v>0.52800000000000002</v>
      </c>
      <c r="AA91" s="2"/>
      <c r="AB91" s="2"/>
      <c r="AC91" s="2"/>
      <c r="AD91" s="2"/>
      <c r="AE91" s="2"/>
      <c r="AF91" s="2"/>
      <c r="AG91" s="27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</row>
    <row r="92" spans="3:92" x14ac:dyDescent="0.25">
      <c r="C92" s="2"/>
      <c r="D92" s="15" t="s">
        <v>76</v>
      </c>
      <c r="E92" s="31" t="str">
        <f t="shared" si="20"/>
        <v>800</v>
      </c>
      <c r="F92" s="31" t="str">
        <f t="shared" si="22"/>
        <v>null</v>
      </c>
      <c r="G92" s="31" t="str">
        <f t="shared" si="23"/>
        <v>null</v>
      </c>
      <c r="H92" s="32" t="e">
        <f t="shared" ca="1" si="21"/>
        <v>#REF!</v>
      </c>
      <c r="I92" s="32" t="str" cm="1">
        <f t="array" aca="1" ref="I92" ca="1">IF(E92="","",INDIRECT("AH"&amp;ROUND((ROW()-80)*0.25,0)))</f>
        <v>801</v>
      </c>
      <c r="J92" s="2"/>
      <c r="U92" s="15" t="s">
        <v>76</v>
      </c>
      <c r="V92" s="26" t="e" cm="1">
        <f t="array" aca="1" ref="V92" ca="1">SUMIFS(INDIRECT("Tabel1342323["&amp;U92&amp;"]"),Tabel13423232[resolution],"PT15M",Tabel13423232[from_ga],INDIRECT("AH"&amp;ROUND(ROW()*0.25-19,0)))-SUMIFS(INDIRECT("Tabel1342323["&amp;U92&amp;"]"),Tabel13423232[resolution],"PT15M",Tabel13423232[to_ga],INDIRECT("AH"&amp;ROUND(ROW()*0.25-19,0)))</f>
        <v>#REF!</v>
      </c>
      <c r="W92" s="16">
        <f>W$90</f>
        <v>0.52775000000000005</v>
      </c>
      <c r="X92" s="16">
        <f>Y92+X91</f>
        <v>0.52725000000000011</v>
      </c>
      <c r="Y92" s="16">
        <f>W92-Z91</f>
        <v>-2.4999999999997247E-4</v>
      </c>
      <c r="Z92" s="16">
        <f t="shared" si="19"/>
        <v>0.52700000000000002</v>
      </c>
      <c r="AA92" s="2"/>
      <c r="AB92" s="2"/>
      <c r="AC92" s="2"/>
      <c r="AD92" s="2"/>
      <c r="AE92" s="2"/>
      <c r="AF92" s="2"/>
      <c r="AG92" s="27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</row>
    <row r="93" spans="3:92" x14ac:dyDescent="0.25">
      <c r="C93" s="2"/>
      <c r="D93" s="15" t="s">
        <v>77</v>
      </c>
      <c r="E93" s="31" t="str">
        <f t="shared" si="20"/>
        <v>800</v>
      </c>
      <c r="F93" s="31" t="str">
        <f t="shared" si="22"/>
        <v>null</v>
      </c>
      <c r="G93" s="31" t="str">
        <f t="shared" si="23"/>
        <v>null</v>
      </c>
      <c r="H93" s="32" t="e">
        <f t="shared" ca="1" si="21"/>
        <v>#REF!</v>
      </c>
      <c r="I93" s="32" t="str" cm="1">
        <f t="array" aca="1" ref="I93" ca="1">IF(E93="","",INDIRECT("AH"&amp;ROUND((ROW()-80)*0.25,0)))</f>
        <v>801</v>
      </c>
      <c r="J93" s="2"/>
      <c r="U93" s="15" t="s">
        <v>77</v>
      </c>
      <c r="V93" s="26" t="e" cm="1">
        <f t="array" aca="1" ref="V93" ca="1">SUMIFS(INDIRECT("Tabel1342323["&amp;U93&amp;"]"),Tabel13423232[resolution],"PT15M",Tabel13423232[from_ga],INDIRECT("AH"&amp;ROUND(ROW()*0.25-19,0)))-SUMIFS(INDIRECT("Tabel1342323["&amp;U93&amp;"]"),Tabel13423232[resolution],"PT15M",Tabel13423232[to_ga],INDIRECT("AH"&amp;ROUND(ROW()*0.25-19,0)))</f>
        <v>#REF!</v>
      </c>
      <c r="W93" s="16">
        <f>W$90</f>
        <v>0.52775000000000005</v>
      </c>
      <c r="X93" s="16">
        <f>Y93+X92</f>
        <v>0.52800000000000014</v>
      </c>
      <c r="Y93" s="16">
        <f>W93-Z92</f>
        <v>7.5000000000002842E-4</v>
      </c>
      <c r="Z93" s="16">
        <f t="shared" si="19"/>
        <v>0.52800000000000002</v>
      </c>
      <c r="AA93" s="2"/>
      <c r="AB93" s="2"/>
      <c r="AC93" s="2"/>
      <c r="AD93" s="2"/>
      <c r="AE93" s="2"/>
      <c r="AF93" s="2"/>
      <c r="AG93" s="27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</row>
    <row r="94" spans="3:92" x14ac:dyDescent="0.25">
      <c r="C94" s="2"/>
      <c r="D94" s="15" t="s">
        <v>74</v>
      </c>
      <c r="E94" s="31" t="str">
        <f t="shared" si="20"/>
        <v>800</v>
      </c>
      <c r="F94" s="31" t="str">
        <f t="shared" si="22"/>
        <v>null</v>
      </c>
      <c r="G94" s="31" t="str">
        <f t="shared" si="23"/>
        <v>null</v>
      </c>
      <c r="H94" s="32" t="e">
        <f t="shared" ca="1" si="21"/>
        <v>#REF!</v>
      </c>
      <c r="I94" s="32" t="str" cm="1">
        <f t="array" aca="1" ref="I94" ca="1">IF(E94="","",INDIRECT("AH"&amp;ROUND((ROW()-80)*0.25,0)))</f>
        <v>802</v>
      </c>
      <c r="J94" s="2"/>
      <c r="U94" s="15" t="s">
        <v>74</v>
      </c>
      <c r="V94" s="26" t="e" cm="1">
        <f t="array" aca="1" ref="V94" ca="1">SUMIFS(INDIRECT("Tabel1342323["&amp;U94&amp;"]"),Tabel13423232[resolution],"PT15M",Tabel13423232[from_ga],INDIRECT("AH"&amp;ROUND(ROW()*0.25-19,0)))-SUMIFS(INDIRECT("Tabel1342323["&amp;U94&amp;"]"),Tabel13423232[resolution],"PT15M",Tabel13423232[to_ga],INDIRECT("AH"&amp;ROUND(ROW()*0.25-19,0)))</f>
        <v>#REF!</v>
      </c>
      <c r="W94" s="6">
        <f>SUMIFS(Tabel13423232[Quarter1],Tabel13423232[resolution],"PT1H",Tabel13423232[from_ga],AH$5)-SUMIFS(Tabel13423232[Quarter1],Tabel13423232[resolution],"PT1H",Tabel13423232[to_ga],AH$5)/4</f>
        <v>0</v>
      </c>
      <c r="X94" s="16">
        <f>W94</f>
        <v>0</v>
      </c>
      <c r="Y94" s="16"/>
      <c r="Z94" s="16">
        <f t="shared" si="19"/>
        <v>0</v>
      </c>
      <c r="AA94" s="2"/>
      <c r="AB94" s="2"/>
      <c r="AC94" s="2"/>
      <c r="AD94" s="2"/>
      <c r="AE94" s="2"/>
      <c r="AF94" s="2"/>
      <c r="AG94" s="27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</row>
    <row r="95" spans="3:92" x14ac:dyDescent="0.25">
      <c r="C95" s="2"/>
      <c r="D95" s="15" t="s">
        <v>75</v>
      </c>
      <c r="E95" s="31" t="str">
        <f t="shared" si="20"/>
        <v>800</v>
      </c>
      <c r="F95" s="31" t="str">
        <f t="shared" si="22"/>
        <v>null</v>
      </c>
      <c r="G95" s="31" t="str">
        <f t="shared" si="23"/>
        <v>null</v>
      </c>
      <c r="H95" s="32" t="e">
        <f t="shared" ca="1" si="21"/>
        <v>#REF!</v>
      </c>
      <c r="I95" s="32" t="str" cm="1">
        <f t="array" aca="1" ref="I95" ca="1">IF(E95="","",INDIRECT("AH"&amp;ROUND((ROW()-80)*0.25,0)))</f>
        <v>802</v>
      </c>
      <c r="J95" s="2"/>
      <c r="U95" s="15" t="s">
        <v>75</v>
      </c>
      <c r="V95" s="26" t="e" cm="1">
        <f t="array" aca="1" ref="V95" ca="1">SUMIFS(INDIRECT("Tabel1342323["&amp;U95&amp;"]"),Tabel13423232[resolution],"PT15M",Tabel13423232[from_ga],INDIRECT("AH"&amp;ROUND(ROW()*0.25-19,0)))-SUMIFS(INDIRECT("Tabel1342323["&amp;U95&amp;"]"),Tabel13423232[resolution],"PT15M",Tabel13423232[to_ga],INDIRECT("AH"&amp;ROUND(ROW()*0.25-19,0)))</f>
        <v>#REF!</v>
      </c>
      <c r="W95" s="16">
        <f>W$94</f>
        <v>0</v>
      </c>
      <c r="X95" s="16">
        <f>Y95+X94</f>
        <v>0</v>
      </c>
      <c r="Y95" s="16">
        <f>W95-Z94</f>
        <v>0</v>
      </c>
      <c r="Z95" s="16">
        <f t="shared" si="19"/>
        <v>0</v>
      </c>
      <c r="AA95" s="2"/>
      <c r="AB95" s="2"/>
      <c r="AC95" s="2"/>
      <c r="AD95" s="2"/>
      <c r="AE95" s="2"/>
      <c r="AF95" s="2"/>
      <c r="AG95" s="27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spans="3:92" x14ac:dyDescent="0.25">
      <c r="C96" s="2"/>
      <c r="D96" s="15" t="s">
        <v>76</v>
      </c>
      <c r="E96" s="31" t="str">
        <f t="shared" si="20"/>
        <v>800</v>
      </c>
      <c r="F96" s="31" t="str">
        <f t="shared" si="22"/>
        <v>null</v>
      </c>
      <c r="G96" s="31" t="str">
        <f t="shared" si="23"/>
        <v>null</v>
      </c>
      <c r="H96" s="32" t="e">
        <f t="shared" ca="1" si="21"/>
        <v>#REF!</v>
      </c>
      <c r="I96" s="32" t="str" cm="1">
        <f t="array" aca="1" ref="I96" ca="1">IF(E96="","",INDIRECT("AH"&amp;ROUND((ROW()-80)*0.25,0)))</f>
        <v>802</v>
      </c>
      <c r="J96" s="2"/>
      <c r="U96" s="15" t="s">
        <v>76</v>
      </c>
      <c r="V96" s="26" t="e" cm="1">
        <f t="array" aca="1" ref="V96" ca="1">SUMIFS(INDIRECT("Tabel1342323["&amp;U96&amp;"]"),Tabel13423232[resolution],"PT15M",Tabel13423232[from_ga],INDIRECT("AH"&amp;ROUND(ROW()*0.25-19,0)))-SUMIFS(INDIRECT("Tabel1342323["&amp;U96&amp;"]"),Tabel13423232[resolution],"PT15M",Tabel13423232[to_ga],INDIRECT("AH"&amp;ROUND(ROW()*0.25-19,0)))</f>
        <v>#REF!</v>
      </c>
      <c r="W96" s="16">
        <f>W$94</f>
        <v>0</v>
      </c>
      <c r="X96" s="16">
        <f>Y96+X95</f>
        <v>0</v>
      </c>
      <c r="Y96" s="16">
        <f>W96-Z95</f>
        <v>0</v>
      </c>
      <c r="Z96" s="16">
        <f t="shared" si="19"/>
        <v>0</v>
      </c>
      <c r="AA96" s="2"/>
      <c r="AB96" s="2"/>
      <c r="AC96" s="2"/>
      <c r="AD96" s="2"/>
      <c r="AE96" s="2"/>
      <c r="AF96" s="2"/>
      <c r="AG96" s="27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  <row r="97" spans="3:92" x14ac:dyDescent="0.25">
      <c r="C97" s="2"/>
      <c r="D97" s="15" t="s">
        <v>77</v>
      </c>
      <c r="E97" s="31" t="str">
        <f t="shared" si="20"/>
        <v>800</v>
      </c>
      <c r="F97" s="31" t="str">
        <f t="shared" si="22"/>
        <v>null</v>
      </c>
      <c r="G97" s="31" t="str">
        <f t="shared" si="23"/>
        <v>null</v>
      </c>
      <c r="H97" s="32" t="e">
        <f t="shared" ca="1" si="21"/>
        <v>#REF!</v>
      </c>
      <c r="I97" s="32" t="str" cm="1">
        <f t="array" aca="1" ref="I97" ca="1">IF(E97="","",INDIRECT("AH"&amp;ROUND((ROW()-80)*0.25,0)))</f>
        <v>802</v>
      </c>
      <c r="J97" s="2"/>
      <c r="U97" s="15" t="s">
        <v>77</v>
      </c>
      <c r="V97" s="26" t="e" cm="1">
        <f t="array" aca="1" ref="V97" ca="1">SUMIFS(INDIRECT("Tabel1342323["&amp;U97&amp;"]"),Tabel13423232[resolution],"PT15M",Tabel13423232[from_ga],INDIRECT("AH"&amp;ROUND(ROW()*0.25-19,0)))-SUMIFS(INDIRECT("Tabel1342323["&amp;U97&amp;"]"),Tabel13423232[resolution],"PT15M",Tabel13423232[to_ga],INDIRECT("AH"&amp;ROUND(ROW()*0.25-19,0)))</f>
        <v>#REF!</v>
      </c>
      <c r="W97" s="16">
        <f>W$94</f>
        <v>0</v>
      </c>
      <c r="X97" s="16">
        <f>Y97+X96</f>
        <v>0</v>
      </c>
      <c r="Y97" s="16">
        <f>W97-Z96</f>
        <v>0</v>
      </c>
      <c r="Z97" s="16">
        <f t="shared" si="19"/>
        <v>0</v>
      </c>
      <c r="AA97" s="2"/>
      <c r="AB97" s="2"/>
      <c r="AC97" s="2"/>
      <c r="AD97" s="2"/>
      <c r="AE97" s="2"/>
      <c r="AF97" s="2"/>
      <c r="AG97" s="27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</row>
    <row r="98" spans="3:92" x14ac:dyDescent="0.25">
      <c r="C98" s="2"/>
      <c r="D98" s="15" t="s">
        <v>74</v>
      </c>
      <c r="E98" s="31" t="str">
        <f t="shared" si="20"/>
        <v/>
      </c>
      <c r="F98" s="31" t="str">
        <f t="shared" si="22"/>
        <v/>
      </c>
      <c r="G98" s="31" t="str">
        <f t="shared" si="23"/>
        <v/>
      </c>
      <c r="H98" s="32" t="str">
        <f t="shared" si="21"/>
        <v/>
      </c>
      <c r="I98" s="32" t="str" cm="1">
        <f t="array" aca="1" ref="I98" ca="1">IF(E98="","",INDIRECT("AH"&amp;ROUND((ROW()-80)*0.25,0)))</f>
        <v/>
      </c>
      <c r="J98" s="2"/>
      <c r="U98" s="15" t="s">
        <v>74</v>
      </c>
      <c r="V98" s="26" t="e" cm="1">
        <f t="array" aca="1" ref="V98" ca="1">SUMIFS(INDIRECT("Tabel1342323["&amp;U98&amp;"]"),Tabel13423232[resolution],"PT15M",Tabel13423232[from_ga],INDIRECT("AH"&amp;ROUND(ROW()*0.25-19,0)))-SUMIFS(INDIRECT("Tabel1342323["&amp;U98&amp;"]"),Tabel13423232[resolution],"PT15M",Tabel13423232[to_ga],INDIRECT("AH"&amp;ROUND(ROW()*0.25-19,0)))</f>
        <v>#REF!</v>
      </c>
      <c r="W98" s="6">
        <f>(SUMIFS(Tabel13423232[Quarter1],Tabel13423232[resolution],"PT1H",Tabel13423232[from_ga],AH$6)-SUMIFS(Tabel13423232[Quarter1],Tabel13423232[resolution],"PT1H",Tabel13423232[to_ga],AH$6))/4</f>
        <v>0</v>
      </c>
      <c r="X98" s="16">
        <f>W98</f>
        <v>0</v>
      </c>
      <c r="Y98" s="16"/>
      <c r="Z98" s="16">
        <f t="shared" si="19"/>
        <v>0</v>
      </c>
      <c r="AA98" s="2"/>
      <c r="AB98" s="2"/>
      <c r="AC98" s="2"/>
      <c r="AD98" s="2"/>
      <c r="AE98" s="2"/>
      <c r="AF98" s="2"/>
      <c r="AG98" s="27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</row>
    <row r="99" spans="3:92" x14ac:dyDescent="0.25">
      <c r="C99" s="2"/>
      <c r="D99" s="15" t="s">
        <v>75</v>
      </c>
      <c r="E99" s="31" t="str">
        <f t="shared" si="20"/>
        <v/>
      </c>
      <c r="F99" s="31" t="str">
        <f t="shared" si="22"/>
        <v/>
      </c>
      <c r="G99" s="31" t="str">
        <f t="shared" si="23"/>
        <v/>
      </c>
      <c r="H99" s="32" t="str">
        <f t="shared" si="21"/>
        <v/>
      </c>
      <c r="I99" s="32" t="str" cm="1">
        <f t="array" aca="1" ref="I99" ca="1">IF(E99="","",INDIRECT("AH"&amp;ROUND((ROW()-80)*0.25,0)))</f>
        <v/>
      </c>
      <c r="J99" s="2"/>
      <c r="U99" s="15" t="s">
        <v>75</v>
      </c>
      <c r="V99" s="26" t="e" cm="1">
        <f t="array" aca="1" ref="V99" ca="1">SUMIFS(INDIRECT("Tabel1342323["&amp;U99&amp;"]"),Tabel13423232[resolution],"PT15M",Tabel13423232[from_ga],INDIRECT("AH"&amp;ROUND(ROW()*0.25-19,0)))-SUMIFS(INDIRECT("Tabel1342323["&amp;U99&amp;"]"),Tabel13423232[resolution],"PT15M",Tabel13423232[to_ga],INDIRECT("AH"&amp;ROUND(ROW()*0.25-19,0)))</f>
        <v>#REF!</v>
      </c>
      <c r="W99" s="16">
        <f>W$98</f>
        <v>0</v>
      </c>
      <c r="X99" s="16">
        <f>Y99+X98</f>
        <v>0</v>
      </c>
      <c r="Y99" s="16">
        <f>W99-Z98</f>
        <v>0</v>
      </c>
      <c r="Z99" s="16">
        <f t="shared" si="19"/>
        <v>0</v>
      </c>
      <c r="AA99" s="2"/>
      <c r="AB99" s="2"/>
      <c r="AC99" s="2"/>
      <c r="AD99" s="2"/>
      <c r="AE99" s="2"/>
      <c r="AF99" s="2"/>
      <c r="AG99" s="27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</row>
    <row r="100" spans="3:92" x14ac:dyDescent="0.25">
      <c r="C100" s="2"/>
      <c r="D100" s="15" t="s">
        <v>76</v>
      </c>
      <c r="E100" s="31" t="str">
        <f t="shared" si="20"/>
        <v/>
      </c>
      <c r="F100" s="31" t="str">
        <f t="shared" si="22"/>
        <v/>
      </c>
      <c r="G100" s="31" t="str">
        <f t="shared" si="23"/>
        <v/>
      </c>
      <c r="H100" s="32" t="str">
        <f t="shared" si="21"/>
        <v/>
      </c>
      <c r="I100" s="32" t="str" cm="1">
        <f t="array" aca="1" ref="I100" ca="1">IF(E100="","",INDIRECT("AH"&amp;ROUND((ROW()-80)*0.25,0)))</f>
        <v/>
      </c>
      <c r="J100" s="2"/>
      <c r="U100" s="15" t="s">
        <v>76</v>
      </c>
      <c r="V100" s="26" t="e" cm="1">
        <f t="array" aca="1" ref="V100" ca="1">SUMIFS(INDIRECT("Tabel1342323["&amp;U100&amp;"]"),Tabel13423232[resolution],"PT15M",Tabel13423232[from_ga],INDIRECT("AH"&amp;ROUND(ROW()*0.25-19,0)))-SUMIFS(INDIRECT("Tabel1342323["&amp;U100&amp;"]"),Tabel13423232[resolution],"PT15M",Tabel13423232[to_ga],INDIRECT("AH"&amp;ROUND(ROW()*0.25-19,0)))</f>
        <v>#REF!</v>
      </c>
      <c r="W100" s="16">
        <f>W$98</f>
        <v>0</v>
      </c>
      <c r="X100" s="16">
        <f>Y100+X99</f>
        <v>0</v>
      </c>
      <c r="Y100" s="16">
        <f>W100-Z99</f>
        <v>0</v>
      </c>
      <c r="Z100" s="16">
        <f t="shared" si="19"/>
        <v>0</v>
      </c>
      <c r="AA100" s="2"/>
      <c r="AB100" s="2"/>
      <c r="AC100" s="2"/>
      <c r="AD100" s="2"/>
      <c r="AE100" s="2"/>
      <c r="AF100" s="2"/>
      <c r="AG100" s="27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</row>
    <row r="101" spans="3:92" x14ac:dyDescent="0.25">
      <c r="C101" s="2"/>
      <c r="D101" s="15" t="s">
        <v>77</v>
      </c>
      <c r="E101" s="31" t="str">
        <f t="shared" si="20"/>
        <v/>
      </c>
      <c r="F101" s="31" t="str">
        <f t="shared" si="22"/>
        <v/>
      </c>
      <c r="G101" s="31" t="str">
        <f t="shared" si="23"/>
        <v/>
      </c>
      <c r="H101" s="32" t="str">
        <f t="shared" si="21"/>
        <v/>
      </c>
      <c r="I101" s="32" t="str" cm="1">
        <f t="array" aca="1" ref="I101" ca="1">IF(E101="","",INDIRECT("AH"&amp;ROUND((ROW()-80)*0.25,0)))</f>
        <v/>
      </c>
      <c r="J101" s="2"/>
      <c r="U101" s="15" t="s">
        <v>77</v>
      </c>
      <c r="V101" s="26" t="e" cm="1">
        <f t="array" aca="1" ref="V101" ca="1">SUMIFS(INDIRECT("Tabel1342323["&amp;U101&amp;"]"),Tabel13423232[resolution],"PT15M",Tabel13423232[from_ga],INDIRECT("AH"&amp;ROUND(ROW()*0.25-19,0)))-SUMIFS(INDIRECT("Tabel1342323["&amp;U101&amp;"]"),Tabel13423232[resolution],"PT15M",Tabel13423232[to_ga],INDIRECT("AH"&amp;ROUND(ROW()*0.25-19,0)))</f>
        <v>#REF!</v>
      </c>
      <c r="W101" s="16">
        <f>W$98</f>
        <v>0</v>
      </c>
      <c r="X101" s="16">
        <f>Y101+X100</f>
        <v>0</v>
      </c>
      <c r="Y101" s="16">
        <f>W101-Z100</f>
        <v>0</v>
      </c>
      <c r="Z101" s="16">
        <f t="shared" si="19"/>
        <v>0</v>
      </c>
      <c r="AA101" s="2"/>
      <c r="AB101" s="2"/>
      <c r="AC101" s="2"/>
      <c r="AD101" s="2"/>
      <c r="AE101" s="2"/>
      <c r="AF101" s="2"/>
      <c r="AG101" s="27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</row>
    <row r="102" spans="3:92" x14ac:dyDescent="0.25">
      <c r="C102" s="2"/>
      <c r="D102" s="15" t="s">
        <v>74</v>
      </c>
      <c r="E102" s="31" t="str">
        <f t="shared" si="20"/>
        <v/>
      </c>
      <c r="F102" s="31" t="str">
        <f t="shared" si="22"/>
        <v/>
      </c>
      <c r="G102" s="31" t="str">
        <f t="shared" si="23"/>
        <v/>
      </c>
      <c r="H102" s="32" t="str">
        <f t="shared" si="21"/>
        <v/>
      </c>
      <c r="I102" s="32" t="str" cm="1">
        <f t="array" aca="1" ref="I102" ca="1">IF(E102="","",INDIRECT("AH"&amp;ROUND((ROW()-80)*0.25,0)))</f>
        <v/>
      </c>
      <c r="J102" s="2"/>
      <c r="U102" s="15" t="s">
        <v>74</v>
      </c>
      <c r="V102" s="26" t="e" cm="1">
        <f t="array" aca="1" ref="V102" ca="1">SUMIFS(INDIRECT("Tabel1342323["&amp;U102&amp;"]"),Tabel13423232[resolution],"PT15M",Tabel13423232[from_ga],INDIRECT("AH"&amp;ROUND(ROW()*0.25-19,0)))-SUMIFS(INDIRECT("Tabel1342323["&amp;U102&amp;"]"),Tabel13423232[resolution],"PT15M",Tabel13423232[to_ga],INDIRECT("AH"&amp;ROUND(ROW()*0.25-19,0)))</f>
        <v>#REF!</v>
      </c>
      <c r="W102" s="6">
        <f>(SUMIFS(Tabel13423232[Quarter1],Tabel13423232[resolution],"PT1H",Tabel13423232[from_ga],AH$7)-SUMIFS(Tabel13423232[Quarter1],Tabel13423232[resolution],"PT1H",Tabel13423232[to_ga],AH$7))/4</f>
        <v>0</v>
      </c>
      <c r="X102" s="16">
        <f>W102</f>
        <v>0</v>
      </c>
      <c r="Y102" s="16"/>
      <c r="Z102" s="16">
        <f t="shared" si="19"/>
        <v>0</v>
      </c>
      <c r="AA102" s="2"/>
      <c r="AB102" s="2"/>
      <c r="AC102" s="2"/>
      <c r="AD102" s="2"/>
      <c r="AE102" s="2"/>
      <c r="AF102" s="2"/>
      <c r="AG102" s="27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</row>
    <row r="103" spans="3:92" x14ac:dyDescent="0.25">
      <c r="C103" s="2"/>
      <c r="D103" s="15" t="s">
        <v>75</v>
      </c>
      <c r="E103" s="31" t="str">
        <f t="shared" si="20"/>
        <v/>
      </c>
      <c r="F103" s="31" t="str">
        <f t="shared" si="22"/>
        <v/>
      </c>
      <c r="G103" s="31" t="str">
        <f t="shared" si="23"/>
        <v/>
      </c>
      <c r="H103" s="32" t="str">
        <f t="shared" si="21"/>
        <v/>
      </c>
      <c r="I103" s="32" t="str" cm="1">
        <f t="array" aca="1" ref="I103" ca="1">IF(E103="","",INDIRECT("AH"&amp;ROUND((ROW()-80)*0.25,0)))</f>
        <v/>
      </c>
      <c r="J103" s="2"/>
      <c r="U103" s="15" t="s">
        <v>75</v>
      </c>
      <c r="V103" s="26" t="e" cm="1">
        <f t="array" aca="1" ref="V103" ca="1">SUMIFS(INDIRECT("Tabel1342323["&amp;U103&amp;"]"),Tabel13423232[resolution],"PT15M",Tabel13423232[from_ga],INDIRECT("AH"&amp;ROUND(ROW()*0.25-19,0)))-SUMIFS(INDIRECT("Tabel1342323["&amp;U103&amp;"]"),Tabel13423232[resolution],"PT15M",Tabel13423232[to_ga],INDIRECT("AH"&amp;ROUND(ROW()*0.25-19,0)))</f>
        <v>#REF!</v>
      </c>
      <c r="W103" s="16">
        <f>W$102</f>
        <v>0</v>
      </c>
      <c r="X103" s="16">
        <f>Y103+X102</f>
        <v>0</v>
      </c>
      <c r="Y103" s="16">
        <f>W103-Z102</f>
        <v>0</v>
      </c>
      <c r="Z103" s="16">
        <f t="shared" si="19"/>
        <v>0</v>
      </c>
      <c r="AA103" s="2"/>
      <c r="AB103" s="2"/>
      <c r="AC103" s="2"/>
      <c r="AD103" s="2"/>
      <c r="AE103" s="2"/>
      <c r="AF103" s="2"/>
      <c r="AG103" s="27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</row>
    <row r="104" spans="3:92" x14ac:dyDescent="0.25">
      <c r="C104" s="2"/>
      <c r="D104" s="15" t="s">
        <v>76</v>
      </c>
      <c r="E104" s="31" t="str">
        <f t="shared" si="20"/>
        <v/>
      </c>
      <c r="F104" s="31" t="str">
        <f t="shared" si="22"/>
        <v/>
      </c>
      <c r="G104" s="31" t="str">
        <f t="shared" si="23"/>
        <v/>
      </c>
      <c r="H104" s="32" t="str">
        <f t="shared" si="21"/>
        <v/>
      </c>
      <c r="I104" s="32" t="str" cm="1">
        <f t="array" aca="1" ref="I104" ca="1">IF(E104="","",INDIRECT("AH"&amp;ROUND((ROW()-80)*0.25,0)))</f>
        <v/>
      </c>
      <c r="J104" s="2"/>
      <c r="U104" s="15" t="s">
        <v>76</v>
      </c>
      <c r="V104" s="26" t="e" cm="1">
        <f t="array" aca="1" ref="V104" ca="1">SUMIFS(INDIRECT("Tabel1342323["&amp;U104&amp;"]"),Tabel13423232[resolution],"PT15M",Tabel13423232[from_ga],INDIRECT("AH"&amp;ROUND(ROW()*0.25-19,0)))-SUMIFS(INDIRECT("Tabel1342323["&amp;U104&amp;"]"),Tabel13423232[resolution],"PT15M",Tabel13423232[to_ga],INDIRECT("AH"&amp;ROUND(ROW()*0.25-19,0)))</f>
        <v>#REF!</v>
      </c>
      <c r="W104" s="16">
        <f>W$102</f>
        <v>0</v>
      </c>
      <c r="X104" s="16">
        <f>Y104+X103</f>
        <v>0</v>
      </c>
      <c r="Y104" s="16">
        <f>W104-Z103</f>
        <v>0</v>
      </c>
      <c r="Z104" s="16">
        <f t="shared" si="19"/>
        <v>0</v>
      </c>
      <c r="AA104" s="2"/>
      <c r="AB104" s="2"/>
      <c r="AC104" s="2"/>
      <c r="AD104" s="2"/>
      <c r="AE104" s="2"/>
      <c r="AF104" s="2"/>
      <c r="AG104" s="27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</row>
    <row r="105" spans="3:92" x14ac:dyDescent="0.25">
      <c r="C105" s="2"/>
      <c r="D105" s="15" t="s">
        <v>77</v>
      </c>
      <c r="E105" s="31" t="str">
        <f t="shared" si="20"/>
        <v/>
      </c>
      <c r="F105" s="31" t="str">
        <f t="shared" si="22"/>
        <v/>
      </c>
      <c r="G105" s="31" t="str">
        <f t="shared" si="23"/>
        <v/>
      </c>
      <c r="H105" s="32" t="str">
        <f t="shared" si="21"/>
        <v/>
      </c>
      <c r="I105" s="32" t="str" cm="1">
        <f t="array" aca="1" ref="I105" ca="1">IF(E105="","",INDIRECT("AH"&amp;ROUND((ROW()-80)*0.25,0)))</f>
        <v/>
      </c>
      <c r="J105" s="2"/>
      <c r="U105" s="15" t="s">
        <v>77</v>
      </c>
      <c r="V105" s="26" t="e" cm="1">
        <f t="array" aca="1" ref="V105" ca="1">SUMIFS(INDIRECT("Tabel1342323["&amp;U105&amp;"]"),Tabel13423232[resolution],"PT15M",Tabel13423232[from_ga],INDIRECT("AH"&amp;ROUND(ROW()*0.25-19,0)))-SUMIFS(INDIRECT("Tabel1342323["&amp;U105&amp;"]"),Tabel13423232[resolution],"PT15M",Tabel13423232[to_ga],INDIRECT("AH"&amp;ROUND(ROW()*0.25-19,0)))</f>
        <v>#REF!</v>
      </c>
      <c r="W105" s="16">
        <f>W$102</f>
        <v>0</v>
      </c>
      <c r="X105" s="16">
        <f>Y105+X104</f>
        <v>0</v>
      </c>
      <c r="Y105" s="16">
        <f>W105-Z104</f>
        <v>0</v>
      </c>
      <c r="Z105" s="16">
        <f t="shared" si="19"/>
        <v>0</v>
      </c>
      <c r="AA105" s="2"/>
      <c r="AB105" s="2"/>
      <c r="AC105" s="2"/>
      <c r="AD105" s="2"/>
      <c r="AE105" s="2"/>
      <c r="AF105" s="2"/>
      <c r="AG105" s="27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</row>
    <row r="106" spans="3:92" x14ac:dyDescent="0.25">
      <c r="C106" s="2"/>
      <c r="D106" s="15" t="s">
        <v>74</v>
      </c>
      <c r="E106" s="31" t="str">
        <f t="shared" si="20"/>
        <v/>
      </c>
      <c r="F106" s="31" t="str">
        <f t="shared" si="22"/>
        <v/>
      </c>
      <c r="G106" s="31" t="str">
        <f t="shared" si="23"/>
        <v/>
      </c>
      <c r="H106" s="32" t="str">
        <f t="shared" si="21"/>
        <v/>
      </c>
      <c r="I106" s="32" t="str" cm="1">
        <f t="array" aca="1" ref="I106" ca="1">IF(E106="","",INDIRECT("AH"&amp;ROUND((ROW()-80)*0.25,0)))</f>
        <v/>
      </c>
      <c r="J106" s="2"/>
      <c r="U106" s="15" t="s">
        <v>74</v>
      </c>
      <c r="V106" s="26" t="e" cm="1">
        <f t="array" aca="1" ref="V106" ca="1">SUMIFS(INDIRECT("Tabel1342323["&amp;U106&amp;"]"),Tabel13423232[resolution],"PT15M",Tabel13423232[from_ga],INDIRECT("AH"&amp;ROUND(ROW()*0.25-19,0)))-SUMIFS(INDIRECT("Tabel1342323["&amp;U106&amp;"]"),Tabel13423232[resolution],"PT15M",Tabel13423232[to_ga],INDIRECT("AH"&amp;ROUND(ROW()*0.25-19,0)))</f>
        <v>#REF!</v>
      </c>
      <c r="W106" s="6">
        <f>(SUMIFS(Tabel13423232[Quarter1],Tabel13423232[resolution],"PT1H",Tabel13423232[from_ga],AH$8)-SUMIFS(Tabel13423232[Quarter1],Tabel13423232[resolution],"PT1H",Tabel13423232[to_ga],AH$8))/4</f>
        <v>0</v>
      </c>
      <c r="X106" s="16">
        <f>W106</f>
        <v>0</v>
      </c>
      <c r="Y106" s="16"/>
      <c r="Z106" s="16">
        <f t="shared" si="19"/>
        <v>0</v>
      </c>
      <c r="AA106" s="2"/>
      <c r="AB106" s="2"/>
      <c r="AC106" s="2"/>
      <c r="AD106" s="2"/>
      <c r="AE106" s="2"/>
      <c r="AF106" s="2"/>
      <c r="AG106" s="27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</row>
    <row r="107" spans="3:92" x14ac:dyDescent="0.25">
      <c r="C107" s="2"/>
      <c r="D107" s="15" t="s">
        <v>75</v>
      </c>
      <c r="E107" s="31" t="str">
        <f t="shared" si="20"/>
        <v/>
      </c>
      <c r="F107" s="31" t="str">
        <f t="shared" si="22"/>
        <v/>
      </c>
      <c r="G107" s="31" t="str">
        <f t="shared" si="23"/>
        <v/>
      </c>
      <c r="H107" s="32" t="str">
        <f t="shared" si="21"/>
        <v/>
      </c>
      <c r="I107" s="32" t="str" cm="1">
        <f t="array" aca="1" ref="I107" ca="1">IF(E107="","",INDIRECT("AH"&amp;ROUND((ROW()-80)*0.25,0)))</f>
        <v/>
      </c>
      <c r="J107" s="2"/>
      <c r="U107" s="15" t="s">
        <v>75</v>
      </c>
      <c r="V107" s="26" t="e" cm="1">
        <f t="array" aca="1" ref="V107" ca="1">SUMIFS(INDIRECT("Tabel1342323["&amp;U107&amp;"]"),Tabel13423232[resolution],"PT15M",Tabel13423232[from_ga],INDIRECT("AH"&amp;ROUND(ROW()*0.25-19,0)))-SUMIFS(INDIRECT("Tabel1342323["&amp;U107&amp;"]"),Tabel13423232[resolution],"PT15M",Tabel13423232[to_ga],INDIRECT("AH"&amp;ROUND(ROW()*0.25-19,0)))</f>
        <v>#REF!</v>
      </c>
      <c r="W107" s="16">
        <f>W$106</f>
        <v>0</v>
      </c>
      <c r="X107" s="16">
        <f>Y107+X106</f>
        <v>0</v>
      </c>
      <c r="Y107" s="16">
        <f>W107-Z106</f>
        <v>0</v>
      </c>
      <c r="Z107" s="16">
        <f t="shared" si="19"/>
        <v>0</v>
      </c>
      <c r="AA107" s="2"/>
      <c r="AB107" s="2"/>
      <c r="AC107" s="2"/>
      <c r="AD107" s="2"/>
      <c r="AE107" s="2"/>
      <c r="AF107" s="2"/>
      <c r="AG107" s="27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</row>
    <row r="108" spans="3:92" x14ac:dyDescent="0.25">
      <c r="C108" s="2"/>
      <c r="D108" s="15" t="s">
        <v>76</v>
      </c>
      <c r="E108" s="31" t="str">
        <f t="shared" si="20"/>
        <v/>
      </c>
      <c r="F108" s="31" t="str">
        <f t="shared" si="22"/>
        <v/>
      </c>
      <c r="G108" s="31" t="str">
        <f t="shared" si="23"/>
        <v/>
      </c>
      <c r="H108" s="32" t="str">
        <f t="shared" si="21"/>
        <v/>
      </c>
      <c r="I108" s="32" t="str" cm="1">
        <f t="array" aca="1" ref="I108" ca="1">IF(E108="","",INDIRECT("AH"&amp;ROUND((ROW()-80)*0.25,0)))</f>
        <v/>
      </c>
      <c r="J108" s="2"/>
      <c r="U108" s="15" t="s">
        <v>76</v>
      </c>
      <c r="V108" s="26" t="e" cm="1">
        <f t="array" aca="1" ref="V108" ca="1">SUMIFS(INDIRECT("Tabel1342323["&amp;U108&amp;"]"),Tabel13423232[resolution],"PT15M",Tabel13423232[from_ga],INDIRECT("AH"&amp;ROUND(ROW()*0.25-19,0)))-SUMIFS(INDIRECT("Tabel1342323["&amp;U108&amp;"]"),Tabel13423232[resolution],"PT15M",Tabel13423232[to_ga],INDIRECT("AH"&amp;ROUND(ROW()*0.25-19,0)))</f>
        <v>#REF!</v>
      </c>
      <c r="W108" s="16">
        <f>W$106</f>
        <v>0</v>
      </c>
      <c r="X108" s="16">
        <f>Y108+X107</f>
        <v>0</v>
      </c>
      <c r="Y108" s="16">
        <f>W108-Z107</f>
        <v>0</v>
      </c>
      <c r="Z108" s="16">
        <f t="shared" si="19"/>
        <v>0</v>
      </c>
      <c r="AA108" s="2"/>
      <c r="AB108" s="2"/>
      <c r="AC108" s="2"/>
      <c r="AD108" s="2"/>
      <c r="AE108" s="2"/>
      <c r="AF108" s="2"/>
      <c r="AG108" s="27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</row>
    <row r="109" spans="3:92" x14ac:dyDescent="0.25">
      <c r="C109" s="2"/>
      <c r="D109" s="15" t="s">
        <v>77</v>
      </c>
      <c r="E109" s="31" t="str">
        <f t="shared" si="20"/>
        <v/>
      </c>
      <c r="F109" s="31" t="str">
        <f t="shared" si="22"/>
        <v/>
      </c>
      <c r="G109" s="31" t="str">
        <f t="shared" si="23"/>
        <v/>
      </c>
      <c r="H109" s="32" t="str">
        <f t="shared" si="21"/>
        <v/>
      </c>
      <c r="I109" s="32" t="str" cm="1">
        <f t="array" aca="1" ref="I109" ca="1">IF(E109="","",INDIRECT("AH"&amp;ROUND((ROW()-80)*0.25,0)))</f>
        <v/>
      </c>
      <c r="J109" s="2"/>
      <c r="U109" s="15" t="s">
        <v>77</v>
      </c>
      <c r="V109" s="26" t="e" cm="1">
        <f t="array" aca="1" ref="V109" ca="1">SUMIFS(INDIRECT("Tabel1342323["&amp;U109&amp;"]"),Tabel13423232[resolution],"PT15M",Tabel13423232[from_ga],INDIRECT("AH"&amp;ROUND(ROW()*0.25-19,0)))-SUMIFS(INDIRECT("Tabel1342323["&amp;U109&amp;"]"),Tabel13423232[resolution],"PT15M",Tabel13423232[to_ga],INDIRECT("AH"&amp;ROUND(ROW()*0.25-19,0)))</f>
        <v>#REF!</v>
      </c>
      <c r="W109" s="16">
        <f>W$106</f>
        <v>0</v>
      </c>
      <c r="X109" s="16">
        <f>Y109+X108</f>
        <v>0</v>
      </c>
      <c r="Y109" s="16">
        <f>W109-Z108</f>
        <v>0</v>
      </c>
      <c r="Z109" s="16">
        <f t="shared" si="19"/>
        <v>0</v>
      </c>
      <c r="AA109" s="2"/>
      <c r="AB109" s="2"/>
      <c r="AC109" s="2"/>
      <c r="AD109" s="2"/>
      <c r="AE109" s="2"/>
      <c r="AF109" s="2"/>
      <c r="AG109" s="27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</row>
    <row r="110" spans="3:92" x14ac:dyDescent="0.25">
      <c r="C110" s="2"/>
      <c r="D110" s="15" t="s">
        <v>74</v>
      </c>
      <c r="E110" s="31" t="str">
        <f t="shared" si="20"/>
        <v/>
      </c>
      <c r="F110" s="31" t="str">
        <f t="shared" si="22"/>
        <v/>
      </c>
      <c r="G110" s="31" t="str">
        <f t="shared" si="23"/>
        <v/>
      </c>
      <c r="H110" s="32" t="str">
        <f t="shared" si="21"/>
        <v/>
      </c>
      <c r="I110" s="32" t="str" cm="1">
        <f t="array" aca="1" ref="I110" ca="1">IF(E110="","",INDIRECT("AH"&amp;ROUND((ROW()-80)*0.25,0)))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7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</row>
    <row r="111" spans="3:92" x14ac:dyDescent="0.25">
      <c r="C111" s="2"/>
      <c r="D111" s="15" t="s">
        <v>75</v>
      </c>
      <c r="E111" s="31" t="str">
        <f t="shared" si="20"/>
        <v/>
      </c>
      <c r="F111" s="31" t="str">
        <f t="shared" si="22"/>
        <v/>
      </c>
      <c r="G111" s="31" t="str">
        <f t="shared" si="23"/>
        <v/>
      </c>
      <c r="H111" s="32" t="str">
        <f t="shared" si="21"/>
        <v/>
      </c>
      <c r="I111" s="32" t="str" cm="1">
        <f t="array" aca="1" ref="I111" ca="1">IF(E111="","",INDIRECT("AH"&amp;ROUND((ROW()-80)*0.25,0)))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7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</row>
    <row r="112" spans="3:92" x14ac:dyDescent="0.25">
      <c r="C112" s="2"/>
      <c r="D112" s="15" t="s">
        <v>76</v>
      </c>
      <c r="E112" s="31" t="str">
        <f t="shared" si="20"/>
        <v/>
      </c>
      <c r="F112" s="31" t="str">
        <f t="shared" si="22"/>
        <v/>
      </c>
      <c r="G112" s="31" t="str">
        <f t="shared" si="23"/>
        <v/>
      </c>
      <c r="H112" s="32" t="str">
        <f t="shared" si="21"/>
        <v/>
      </c>
      <c r="I112" s="32" t="str" cm="1">
        <f t="array" aca="1" ref="I112" ca="1">IF(E112="","",INDIRECT("AH"&amp;ROUND((ROW()-80)*0.25,0)))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7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</row>
    <row r="113" spans="3:92" x14ac:dyDescent="0.25">
      <c r="C113" s="2"/>
      <c r="D113" s="15" t="s">
        <v>77</v>
      </c>
      <c r="E113" s="31" t="str">
        <f t="shared" si="20"/>
        <v/>
      </c>
      <c r="F113" s="31" t="str">
        <f t="shared" si="22"/>
        <v/>
      </c>
      <c r="G113" s="31" t="str">
        <f t="shared" si="23"/>
        <v/>
      </c>
      <c r="H113" s="32" t="str">
        <f>SUBSTITUTE(IF(E113="","",V109+Z109),",",".")</f>
        <v/>
      </c>
      <c r="I113" s="32" t="str" cm="1">
        <f t="array" aca="1" ref="I113" ca="1">IF(E113="","",INDIRECT("AH"&amp;ROUND((ROW()-80)*0.25,0)))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7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</row>
    <row r="114" spans="3:92" x14ac:dyDescent="0.25">
      <c r="C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7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</row>
    <row r="115" spans="3:92" x14ac:dyDescent="0.25">
      <c r="C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7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</row>
    <row r="116" spans="3:92" x14ac:dyDescent="0.25">
      <c r="C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7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</row>
    <row r="117" spans="3:92" x14ac:dyDescent="0.25">
      <c r="C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7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</row>
    <row r="118" spans="3:92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7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</row>
    <row r="119" spans="3:92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7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</row>
    <row r="120" spans="3:92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7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</row>
    <row r="121" spans="3:92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7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</row>
    <row r="122" spans="3:92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7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</row>
    <row r="123" spans="3:92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7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</row>
    <row r="124" spans="3:92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7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</row>
    <row r="125" spans="3:92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7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</row>
    <row r="126" spans="3:92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7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</row>
    <row r="127" spans="3:92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7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</row>
    <row r="128" spans="3:92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7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</row>
    <row r="129" spans="3:92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7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</row>
    <row r="130" spans="3:92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7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</row>
    <row r="131" spans="3:92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7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</row>
    <row r="132" spans="3:92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7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</row>
    <row r="133" spans="3:92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7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</row>
    <row r="134" spans="3:92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7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</row>
    <row r="135" spans="3:92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7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</row>
    <row r="136" spans="3:92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7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</row>
    <row r="137" spans="3:92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7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</row>
    <row r="138" spans="3:92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7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</row>
    <row r="139" spans="3:92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7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</row>
    <row r="140" spans="3:92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7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</row>
    <row r="141" spans="3:92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7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</row>
    <row r="142" spans="3:92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7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</row>
    <row r="143" spans="3:92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7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</row>
    <row r="144" spans="3:92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7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</row>
    <row r="145" spans="3:92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7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</row>
    <row r="146" spans="3:92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7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</row>
    <row r="147" spans="3:92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7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</row>
    <row r="148" spans="3:92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7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</row>
    <row r="149" spans="3:92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7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</row>
    <row r="150" spans="3:92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7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</row>
    <row r="151" spans="3:92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7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</row>
    <row r="152" spans="3:92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7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</row>
    <row r="153" spans="3:92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7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</row>
    <row r="154" spans="3:92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7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</row>
    <row r="155" spans="3:92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7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</row>
    <row r="156" spans="3:92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7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</row>
    <row r="157" spans="3:92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7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</row>
    <row r="158" spans="3:92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7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</row>
    <row r="159" spans="3:92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7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</row>
    <row r="160" spans="3:92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7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</row>
    <row r="161" spans="3:92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7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</row>
    <row r="162" spans="3:92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7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</row>
    <row r="163" spans="3:92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7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</row>
    <row r="164" spans="3:92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7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</row>
    <row r="165" spans="3:92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7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</row>
    <row r="166" spans="3:92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7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</row>
    <row r="167" spans="3:92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7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</row>
    <row r="168" spans="3:92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7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</row>
    <row r="169" spans="3:92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7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</row>
    <row r="170" spans="3:92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7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</row>
    <row r="171" spans="3:92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7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</row>
    <row r="172" spans="3:92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7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</row>
    <row r="173" spans="3:92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7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</row>
    <row r="174" spans="3:92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7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</row>
    <row r="175" spans="3:92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7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</row>
    <row r="176" spans="3:92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7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</row>
    <row r="177" spans="3:92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7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</row>
    <row r="178" spans="3:92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7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</row>
    <row r="179" spans="3:92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7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</row>
    <row r="180" spans="3:92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7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</row>
    <row r="181" spans="3:92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7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</row>
    <row r="182" spans="3:92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7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</row>
    <row r="183" spans="3:92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7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</row>
    <row r="184" spans="3:92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7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</row>
    <row r="185" spans="3:92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7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</row>
    <row r="186" spans="3:92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7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</row>
    <row r="187" spans="3:92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7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</row>
    <row r="188" spans="3:92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7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</row>
    <row r="189" spans="3:92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7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</row>
    <row r="190" spans="3:92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7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</row>
    <row r="191" spans="3:92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7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</row>
    <row r="192" spans="3:92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7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</row>
    <row r="193" spans="3:92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7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</row>
    <row r="194" spans="3:92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7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</row>
    <row r="195" spans="3:92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7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</row>
    <row r="196" spans="3:92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7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</row>
    <row r="197" spans="3:92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7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</row>
    <row r="198" spans="3:92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7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</row>
    <row r="199" spans="3:92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7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</row>
    <row r="200" spans="3:92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7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</row>
    <row r="201" spans="3:92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7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</row>
    <row r="202" spans="3:92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7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</row>
    <row r="203" spans="3:92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7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</row>
    <row r="204" spans="3:92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7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</row>
    <row r="205" spans="3:92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7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</row>
    <row r="206" spans="3:92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7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</row>
    <row r="207" spans="3:92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7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</row>
    <row r="208" spans="3:92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7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</row>
    <row r="209" spans="3:92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7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</row>
    <row r="210" spans="3:92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7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</row>
    <row r="211" spans="3:92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7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</row>
    <row r="212" spans="3:92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7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</row>
    <row r="213" spans="3:92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7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</row>
    <row r="214" spans="3:92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7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</row>
    <row r="215" spans="3:92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7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</row>
    <row r="216" spans="3:92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7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</row>
    <row r="217" spans="3:92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7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</row>
    <row r="218" spans="3:92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7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</row>
    <row r="219" spans="3:92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7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</row>
    <row r="220" spans="3:92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7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</row>
    <row r="221" spans="3:92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7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</row>
    <row r="222" spans="3:92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7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</row>
    <row r="223" spans="3:92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7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</row>
    <row r="224" spans="3:92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7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</row>
    <row r="225" spans="3:92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7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</row>
    <row r="226" spans="3:92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7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</row>
    <row r="227" spans="3:92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7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</row>
    <row r="228" spans="3:92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7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</row>
    <row r="229" spans="3:92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7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</row>
    <row r="230" spans="3:92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7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</row>
    <row r="231" spans="3:92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7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</row>
    <row r="232" spans="3:92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7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</row>
    <row r="233" spans="3:92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7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</row>
    <row r="234" spans="3:92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7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</row>
    <row r="235" spans="3:92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7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</row>
    <row r="236" spans="3:92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7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</row>
    <row r="237" spans="3:92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7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</row>
    <row r="238" spans="3:92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7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</row>
    <row r="239" spans="3:92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7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</row>
    <row r="240" spans="3:92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7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</row>
    <row r="241" spans="3:92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7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</row>
    <row r="242" spans="3:92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7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</row>
    <row r="243" spans="3:92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7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</row>
    <row r="244" spans="3:92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7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</row>
    <row r="245" spans="3:92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7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</row>
    <row r="246" spans="3:92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7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</row>
    <row r="247" spans="3:92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7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</row>
    <row r="248" spans="3:92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7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</row>
    <row r="249" spans="3:92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</row>
    <row r="250" spans="3:92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</row>
    <row r="251" spans="3:92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</row>
    <row r="252" spans="3:92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</row>
    <row r="253" spans="3:92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</row>
    <row r="254" spans="3:92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</row>
    <row r="255" spans="3:92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</row>
    <row r="256" spans="3:92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</row>
    <row r="257" spans="3:92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</row>
    <row r="258" spans="3:92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</row>
    <row r="259" spans="3:92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</row>
    <row r="260" spans="3:92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</row>
    <row r="261" spans="3:92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</row>
    <row r="262" spans="3:92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</row>
    <row r="263" spans="3:92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</row>
    <row r="264" spans="3:92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</row>
    <row r="265" spans="3:92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</row>
    <row r="266" spans="3:92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</row>
    <row r="267" spans="3:92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</row>
    <row r="268" spans="3:92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</row>
    <row r="269" spans="3:92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</row>
    <row r="270" spans="3:92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</row>
    <row r="271" spans="3:92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</row>
    <row r="272" spans="3:92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</row>
    <row r="273" spans="3:92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</row>
    <row r="274" spans="3:92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</row>
    <row r="275" spans="3:92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</row>
    <row r="276" spans="3:92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</row>
    <row r="277" spans="3:92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</row>
    <row r="278" spans="3:92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</row>
    <row r="279" spans="3:92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</row>
    <row r="280" spans="3:92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</row>
    <row r="281" spans="3:92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</row>
    <row r="282" spans="3:92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</row>
    <row r="283" spans="3:92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</row>
    <row r="284" spans="3:92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</row>
    <row r="285" spans="3:92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</row>
    <row r="286" spans="3:92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</row>
    <row r="287" spans="3:92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</row>
    <row r="288" spans="3:92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</row>
    <row r="289" spans="3:92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</row>
    <row r="290" spans="3:92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</row>
    <row r="291" spans="3:92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</row>
    <row r="292" spans="3:92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</row>
    <row r="293" spans="3:92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</row>
    <row r="294" spans="3:92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</row>
    <row r="295" spans="3:92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</row>
    <row r="296" spans="3:92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</row>
    <row r="297" spans="3:92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</row>
    <row r="298" spans="3:92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</row>
    <row r="299" spans="3:92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</row>
    <row r="300" spans="3:92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</row>
    <row r="301" spans="3:92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</row>
    <row r="302" spans="3:92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</row>
    <row r="303" spans="3:92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</row>
    <row r="304" spans="3:92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</row>
    <row r="305" spans="3:92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</row>
    <row r="306" spans="3:92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</row>
    <row r="307" spans="3:92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</row>
    <row r="308" spans="3:92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</row>
    <row r="309" spans="3:92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</row>
    <row r="310" spans="3:92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</row>
    <row r="311" spans="3:92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</row>
    <row r="312" spans="3:92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</row>
    <row r="313" spans="3:92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</row>
    <row r="314" spans="3:92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</row>
    <row r="315" spans="3:92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</row>
    <row r="316" spans="3:92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</row>
    <row r="317" spans="3:92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</row>
    <row r="318" spans="3:92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</row>
    <row r="319" spans="3:92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</row>
    <row r="320" spans="3:92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</row>
    <row r="321" spans="3:92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</row>
    <row r="322" spans="3:92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</row>
    <row r="323" spans="3:92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</row>
    <row r="324" spans="3:92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</row>
    <row r="325" spans="3:92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</row>
    <row r="326" spans="3:92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</row>
    <row r="327" spans="3:92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</row>
    <row r="328" spans="3:92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</row>
    <row r="329" spans="3:92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</row>
    <row r="330" spans="3:92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</row>
    <row r="331" spans="3:92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</row>
    <row r="332" spans="3:92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</row>
    <row r="333" spans="3:92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</row>
    <row r="334" spans="3:92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</row>
    <row r="335" spans="3:92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</row>
    <row r="336" spans="3:92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</row>
    <row r="337" spans="3:92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</row>
    <row r="338" spans="3:92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</row>
    <row r="339" spans="3:92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</row>
    <row r="340" spans="3:92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</row>
    <row r="341" spans="3:92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</row>
    <row r="342" spans="3:92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</row>
    <row r="343" spans="3:92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</row>
    <row r="344" spans="3:92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</row>
    <row r="345" spans="3:92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</row>
    <row r="346" spans="3:92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</row>
    <row r="347" spans="3:92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</row>
    <row r="348" spans="3:92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</row>
    <row r="349" spans="3:92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</row>
    <row r="350" spans="3:92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</row>
    <row r="351" spans="3:92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</row>
    <row r="352" spans="3:92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</row>
    <row r="353" spans="3:92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</row>
    <row r="354" spans="3:92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</row>
    <row r="355" spans="3:92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</row>
    <row r="356" spans="3:92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</row>
    <row r="357" spans="3:92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</row>
    <row r="358" spans="3:92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</row>
    <row r="359" spans="3:92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</row>
    <row r="360" spans="3:92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</row>
    <row r="361" spans="3:92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</row>
    <row r="362" spans="3:92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</row>
    <row r="363" spans="3:92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</row>
    <row r="364" spans="3:92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</row>
    <row r="365" spans="3:92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</row>
    <row r="366" spans="3:92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</row>
    <row r="367" spans="3:92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</row>
    <row r="368" spans="3:92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</row>
    <row r="369" spans="3:92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</row>
    <row r="370" spans="3:92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</row>
    <row r="371" spans="3:92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</row>
    <row r="372" spans="3:92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</row>
    <row r="373" spans="3:92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</row>
    <row r="374" spans="3:92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</row>
    <row r="375" spans="3:92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</row>
    <row r="376" spans="3:92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</row>
    <row r="377" spans="3:92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</row>
    <row r="378" spans="3:92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</row>
    <row r="379" spans="3:92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</row>
    <row r="380" spans="3:92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</row>
    <row r="381" spans="3:92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</row>
    <row r="382" spans="3:92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</row>
    <row r="383" spans="3:92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</row>
    <row r="384" spans="3:92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</row>
    <row r="385" spans="3:92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</row>
    <row r="386" spans="3:92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</row>
    <row r="387" spans="3:92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</row>
    <row r="388" spans="3:92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</row>
    <row r="389" spans="3:92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</row>
    <row r="390" spans="3:92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</row>
    <row r="391" spans="3:92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</row>
    <row r="392" spans="3:92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</row>
    <row r="393" spans="3:92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</row>
    <row r="394" spans="3:92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</row>
    <row r="395" spans="3:92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</row>
    <row r="396" spans="3:92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</row>
    <row r="397" spans="3:92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</row>
    <row r="398" spans="3:92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</row>
    <row r="399" spans="3:92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</row>
    <row r="400" spans="3:92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</row>
  </sheetData>
  <mergeCells count="12">
    <mergeCell ref="E88:I88"/>
    <mergeCell ref="E20:H20"/>
    <mergeCell ref="I20:K20"/>
    <mergeCell ref="E46:H46"/>
    <mergeCell ref="E52:H52"/>
    <mergeCell ref="E58:H58"/>
    <mergeCell ref="E64:H64"/>
    <mergeCell ref="W65:X65"/>
    <mergeCell ref="E70:H70"/>
    <mergeCell ref="E76:H76"/>
    <mergeCell ref="E82:H82"/>
    <mergeCell ref="V84:Z84"/>
  </mergeCells>
  <conditionalFormatting sqref="F9">
    <cfRule type="expression" dxfId="36" priority="1">
      <formula>OR($N9="glmp",$N9="skmp")</formula>
    </cfRule>
  </conditionalFormatting>
  <conditionalFormatting sqref="G9:I9 F10:I19 F2:I8">
    <cfRule type="expression" dxfId="35" priority="3">
      <formula>OR($N2="glmp",$N2="skmp")</formula>
    </cfRule>
  </conditionalFormatting>
  <conditionalFormatting sqref="G2:I19">
    <cfRule type="expression" dxfId="34" priority="4">
      <formula>$K2="PT1H"</formula>
    </cfRule>
  </conditionalFormatting>
  <conditionalFormatting sqref="V35 Y35">
    <cfRule type="expression" dxfId="33" priority="10">
      <formula>$V$35=$Y$35</formula>
    </cfRule>
  </conditionalFormatting>
  <conditionalFormatting sqref="V41 Y41">
    <cfRule type="expression" dxfId="32" priority="9">
      <formula>$V$41=$Y$41</formula>
    </cfRule>
  </conditionalFormatting>
  <conditionalFormatting sqref="V47 Y47">
    <cfRule type="expression" dxfId="31" priority="8">
      <formula>$V$47=$Y$47</formula>
    </cfRule>
  </conditionalFormatting>
  <conditionalFormatting sqref="V53 Y53">
    <cfRule type="expression" dxfId="30" priority="7">
      <formula>$V$53=$Y$53</formula>
    </cfRule>
  </conditionalFormatting>
  <conditionalFormatting sqref="V59 Y59">
    <cfRule type="expression" dxfId="29" priority="6">
      <formula>$V$59=$Y$59</formula>
    </cfRule>
  </conditionalFormatting>
  <conditionalFormatting sqref="V65 Y65">
    <cfRule type="expression" dxfId="28" priority="5">
      <formula>$V$65=$Y$65</formula>
    </cfRule>
  </conditionalFormatting>
  <dataValidations count="5">
    <dataValidation type="list" allowBlank="1" showInputMessage="1" showErrorMessage="1" sqref="N2:N19" xr:uid="{BDEBF5AE-4253-4D08-8CF7-B849F29325BD}">
      <formula1>"glmp,skmp"</formula1>
    </dataValidation>
    <dataValidation type="list" allowBlank="1" showInputMessage="1" showErrorMessage="1" sqref="E2:E19" xr:uid="{F529B0AE-674F-42C4-9591-86C4C58DCB03}">
      <formula1>"D01,E02"</formula1>
    </dataValidation>
    <dataValidation type="list" allowBlank="1" showInputMessage="1" showErrorMessage="1" sqref="K2:K19" xr:uid="{0A361939-A7B1-4E89-8C3D-BAA323977062}">
      <formula1>"PT15M,PT1H"</formula1>
    </dataValidation>
    <dataValidation type="list" allowBlank="1" showInputMessage="1" showErrorMessage="1" sqref="B2" xr:uid="{EF2C4006-3D70-4322-8A03-F4B56FF99C2A}">
      <formula1>"flex_consumption,nonprofiled_consumption,production"</formula1>
    </dataValidation>
    <dataValidation type="list" allowBlank="1" showInputMessage="1" showErrorMessage="1" sqref="B1" xr:uid="{56DBA295-1A9E-4490-8BD0-1FE3AE3D864F}">
      <formula1>"ga,ga_es,ga_brp,ga_brp_es"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7959-3C66-4C2F-9506-04269364BE4D}">
  <sheetPr>
    <tabColor rgb="FF92D050"/>
  </sheetPr>
  <dimension ref="A1:CN400"/>
  <sheetViews>
    <sheetView tabSelected="1" zoomScaleNormal="100" workbookViewId="0">
      <selection activeCell="I12" sqref="I12"/>
    </sheetView>
  </sheetViews>
  <sheetFormatPr defaultColWidth="8.7109375" defaultRowHeight="15" x14ac:dyDescent="0.25"/>
  <cols>
    <col min="1" max="1" width="16.42578125" style="1" bestFit="1" customWidth="1"/>
    <col min="2" max="2" width="36" style="1" bestFit="1" customWidth="1"/>
    <col min="3" max="3" width="27.140625" style="1" bestFit="1" customWidth="1"/>
    <col min="4" max="4" width="9.7109375" style="1" bestFit="1" customWidth="1"/>
    <col min="5" max="5" width="21.42578125" style="1" bestFit="1" customWidth="1"/>
    <col min="6" max="6" width="23.5703125" style="1" bestFit="1" customWidth="1"/>
    <col min="7" max="7" width="28.5703125" style="1" bestFit="1" customWidth="1"/>
    <col min="8" max="9" width="24.42578125" style="1" bestFit="1" customWidth="1"/>
    <col min="10" max="11" width="15.7109375" style="1" bestFit="1" customWidth="1"/>
    <col min="12" max="13" width="14.140625" style="1" bestFit="1" customWidth="1"/>
    <col min="14" max="14" width="8.140625" style="1" bestFit="1" customWidth="1"/>
    <col min="15" max="15" width="8.140625" style="1" customWidth="1"/>
    <col min="16" max="17" width="11.7109375" style="1" customWidth="1"/>
    <col min="18" max="18" width="8.85546875" style="1" bestFit="1" customWidth="1"/>
    <col min="19" max="19" width="32.28515625" style="1" bestFit="1" customWidth="1"/>
    <col min="20" max="20" width="14.140625" style="1" bestFit="1" customWidth="1"/>
    <col min="21" max="21" width="33.42578125" style="1" bestFit="1" customWidth="1"/>
    <col min="22" max="22" width="15.7109375" style="1" bestFit="1" customWidth="1"/>
    <col min="23" max="24" width="13.28515625" style="1" bestFit="1" customWidth="1"/>
    <col min="25" max="25" width="11.7109375" style="1" bestFit="1" customWidth="1"/>
    <col min="26" max="26" width="12.42578125" style="1" bestFit="1" customWidth="1"/>
    <col min="27" max="27" width="4.140625" style="1" bestFit="1" customWidth="1"/>
    <col min="28" max="28" width="2.85546875" style="1" bestFit="1" customWidth="1"/>
    <col min="29" max="29" width="1.85546875" style="1" bestFit="1" customWidth="1"/>
    <col min="30" max="30" width="9.5703125" style="1" bestFit="1" customWidth="1"/>
    <col min="31" max="31" width="27.42578125" style="1" bestFit="1" customWidth="1"/>
    <col min="32" max="32" width="19.85546875" style="1" bestFit="1" customWidth="1"/>
    <col min="33" max="33" width="21.85546875" style="1" bestFit="1" customWidth="1"/>
    <col min="34" max="34" width="11.7109375" style="1" bestFit="1" customWidth="1"/>
    <col min="35" max="40" width="8.7109375" style="1" customWidth="1"/>
    <col min="41" max="16384" width="8.7109375" style="1"/>
  </cols>
  <sheetData>
    <row r="1" spans="1:92" ht="21" x14ac:dyDescent="0.35">
      <c r="A1" s="18" t="s">
        <v>22</v>
      </c>
      <c r="B1" s="38" t="s">
        <v>88</v>
      </c>
      <c r="C1" s="14" t="s">
        <v>7</v>
      </c>
      <c r="D1" s="14" t="s">
        <v>11</v>
      </c>
      <c r="E1" s="14" t="s">
        <v>12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114</v>
      </c>
      <c r="K1" s="14" t="s">
        <v>8</v>
      </c>
      <c r="L1" s="14" t="s">
        <v>9</v>
      </c>
      <c r="M1" s="14" t="s">
        <v>10</v>
      </c>
      <c r="N1" s="14" t="s">
        <v>13</v>
      </c>
      <c r="O1" s="14" t="s">
        <v>18</v>
      </c>
      <c r="P1" s="14" t="s">
        <v>81</v>
      </c>
      <c r="Q1" s="14" t="s">
        <v>82</v>
      </c>
      <c r="U1" s="15" t="s">
        <v>74</v>
      </c>
      <c r="V1" s="15" t="s">
        <v>75</v>
      </c>
      <c r="W1" s="15" t="s">
        <v>76</v>
      </c>
      <c r="X1" s="15" t="s">
        <v>77</v>
      </c>
      <c r="AA1" s="24"/>
      <c r="AC1" s="24"/>
      <c r="AD1" s="30" t="s">
        <v>19</v>
      </c>
      <c r="AE1" s="30" t="s">
        <v>16</v>
      </c>
      <c r="AF1" s="30" t="s">
        <v>17</v>
      </c>
      <c r="AG1" s="30" t="s">
        <v>113</v>
      </c>
      <c r="AH1" s="30" t="s">
        <v>83</v>
      </c>
      <c r="AI1" s="30"/>
      <c r="AJ1" s="24"/>
    </row>
    <row r="2" spans="1:92" ht="21" x14ac:dyDescent="0.35">
      <c r="A2" s="18" t="s">
        <v>25</v>
      </c>
      <c r="B2" s="17" t="s">
        <v>118</v>
      </c>
      <c r="C2" s="10" t="s">
        <v>89</v>
      </c>
      <c r="D2" s="10" t="s">
        <v>90</v>
      </c>
      <c r="E2" s="11" t="s">
        <v>91</v>
      </c>
      <c r="F2" s="12"/>
      <c r="G2" s="12"/>
      <c r="H2" s="41"/>
      <c r="I2" s="41"/>
      <c r="J2" s="43">
        <f t="shared" ref="J2:J19" si="0">IF(C2="","",SUM(F2:I2))</f>
        <v>0</v>
      </c>
      <c r="K2" s="10" t="s">
        <v>107</v>
      </c>
      <c r="L2" s="10" t="s">
        <v>93</v>
      </c>
      <c r="M2" s="10" t="s">
        <v>94</v>
      </c>
      <c r="N2" s="10" t="s">
        <v>97</v>
      </c>
      <c r="O2" s="10" t="s">
        <v>95</v>
      </c>
      <c r="P2" s="29"/>
      <c r="Q2" s="29"/>
      <c r="R2" s="24"/>
      <c r="S2" s="7" t="s">
        <v>35</v>
      </c>
      <c r="T2" s="9">
        <f>SUMIFS(Tabel134232323[TotalHour],Tabel134232323[settlement_method],"D01",Tabel134232323[resolution],"PT15M")</f>
        <v>1</v>
      </c>
      <c r="U2" s="42">
        <f>SUMIFS(Tabel134232323[Quarter1],Tabel134232323[settlement_method],"D01",Tabel134232323[resolution],"PT15M")</f>
        <v>0.1</v>
      </c>
      <c r="V2" s="42">
        <f>SUMIFS(Tabel134232323[Quarter2],Tabel134232323[settlement_method],"D01",Tabel134232323[resolution],"PT15M")</f>
        <v>0.2</v>
      </c>
      <c r="W2" s="42">
        <f>SUMIFS(Tabel134232323[Quarter3],Tabel134232323[settlement_method],"D01",Tabel134232323[resolution],"PT15M")</f>
        <v>0.3</v>
      </c>
      <c r="X2" s="42">
        <f>SUMIFS(Tabel134232323[Quarter4],Tabel134232323[settlement_method],"D01",Tabel134232323[resolution],"PT15M")</f>
        <v>0.4</v>
      </c>
      <c r="Y2" s="24"/>
      <c r="Z2" s="24"/>
      <c r="AA2" s="24"/>
      <c r="AC2" s="24"/>
      <c r="AD2" s="27" t="str" cm="1">
        <f t="array" ref="AD2">_xlfn._xlws.SORT(_xlfn.UNIQUE(_xlfn._xlws.FILTER(Tabel134232323[ga_id],Tabel134232323[ga_id] &lt;&gt; "")))</f>
        <v>800</v>
      </c>
      <c r="AE2" s="27" t="str" cm="1">
        <f t="array" ref="AE2">_xlfn._xlws.SORT(_xlfn.UNIQUE(_xlfn._xlws.FILTER(AE28:AE41,AE28:AE41 &lt;&gt; "")))</f>
        <v>2000000000000</v>
      </c>
      <c r="AF2" s="27" t="str" cm="1">
        <f t="array" ref="AF2">_xlfn._xlws.SORT(_xlfn.UNIQUE(_xlfn._xlws.FILTER(AF28:AF40,AF28:AF40 &lt;&gt; "")))</f>
        <v>2200000000000</v>
      </c>
      <c r="AG2" s="27" t="str">
        <f>IF(B$2="production","E18",IF($B$2="flex_consumption","D01","E02"))</f>
        <v>E18</v>
      </c>
      <c r="AH2" s="27" t="str" cm="1">
        <f t="array" ref="AH2:AH3">_xlfn._xlws.SORT(_xlfn.UNIQUE(_xlfn.VSTACK(_xlfn._xlws.FILTER(Tabel134232323[from_ga],Tabel134232323[from_ga] &lt;&gt; ""),_xlfn._xlws.FILTER(Tabel134232323[to_ga],Tabel134232323[to_ga] &lt;&gt; ""))))</f>
        <v>800</v>
      </c>
      <c r="AI2" s="24"/>
      <c r="AJ2" s="24"/>
    </row>
    <row r="3" spans="1:92" x14ac:dyDescent="0.25">
      <c r="C3" s="10" t="s">
        <v>98</v>
      </c>
      <c r="D3" s="10" t="s">
        <v>103</v>
      </c>
      <c r="E3" s="11"/>
      <c r="F3" s="12"/>
      <c r="G3" s="12"/>
      <c r="H3" s="41"/>
      <c r="I3" s="41"/>
      <c r="J3" s="43">
        <f t="shared" si="0"/>
        <v>0</v>
      </c>
      <c r="K3" s="10" t="s">
        <v>107</v>
      </c>
      <c r="L3" s="10" t="s">
        <v>108</v>
      </c>
      <c r="M3" s="10" t="s">
        <v>109</v>
      </c>
      <c r="N3" s="10" t="s">
        <v>106</v>
      </c>
      <c r="O3" s="10" t="s">
        <v>95</v>
      </c>
      <c r="P3" s="29"/>
      <c r="Q3" s="29"/>
      <c r="R3" s="24"/>
      <c r="S3" s="7" t="s">
        <v>39</v>
      </c>
      <c r="T3" s="9">
        <f>SUMIFS(Tabel134232323[TotalHour],Tabel134232323[settlement_method],"E02",Tabel134232323[resolution],"PT15M")</f>
        <v>26</v>
      </c>
      <c r="U3" s="42">
        <f>SUMIFS(Tabel134232323[Quarter1],Tabel134232323[settlement_method],"E02",Tabel134232323[resolution],"PT15M")</f>
        <v>1</v>
      </c>
      <c r="V3" s="42">
        <f>SUMIFS(Tabel134232323[Quarter2],Tabel134232323[settlement_method],"E02",Tabel134232323[resolution],"PT15M")</f>
        <v>2</v>
      </c>
      <c r="W3" s="42">
        <f>SUMIFS(Tabel134232323[Quarter3],Tabel134232323[settlement_method],"E02",Tabel134232323[resolution],"PT15M")</f>
        <v>3</v>
      </c>
      <c r="X3" s="42">
        <f>SUMIFS(Tabel134232323[Quarter4],Tabel134232323[settlement_method],"E02",Tabel134232323[resolution],"PT15M")</f>
        <v>20</v>
      </c>
      <c r="Y3" s="24"/>
      <c r="Z3" s="24"/>
      <c r="AA3" s="24"/>
      <c r="AC3" s="24"/>
      <c r="AD3" s="24"/>
      <c r="AE3" s="24"/>
      <c r="AF3" s="24"/>
      <c r="AG3" s="24"/>
      <c r="AH3" s="24" t="str">
        <v>801</v>
      </c>
      <c r="AI3" s="24"/>
      <c r="AJ3" s="24"/>
    </row>
    <row r="4" spans="1:92" x14ac:dyDescent="0.25">
      <c r="C4" s="10" t="s">
        <v>100</v>
      </c>
      <c r="D4" s="10" t="s">
        <v>90</v>
      </c>
      <c r="E4" s="11" t="s">
        <v>110</v>
      </c>
      <c r="F4" s="12">
        <v>1</v>
      </c>
      <c r="G4" s="12">
        <v>2</v>
      </c>
      <c r="H4" s="41">
        <v>3</v>
      </c>
      <c r="I4" s="41">
        <v>20</v>
      </c>
      <c r="J4" s="43">
        <f t="shared" si="0"/>
        <v>26</v>
      </c>
      <c r="K4" s="10" t="s">
        <v>107</v>
      </c>
      <c r="L4" s="10" t="s">
        <v>93</v>
      </c>
      <c r="M4" s="10" t="s">
        <v>94</v>
      </c>
      <c r="N4" s="10"/>
      <c r="O4" s="10" t="s">
        <v>95</v>
      </c>
      <c r="P4" s="29"/>
      <c r="Q4" s="29"/>
      <c r="R4" s="24"/>
      <c r="S4" s="7" t="s">
        <v>28</v>
      </c>
      <c r="T4" s="9">
        <f>SUMIFS(Tabel134232323[TotalHour],Tabel134232323[type],"E18",Tabel134232323[resolution],"PT15M")</f>
        <v>4</v>
      </c>
      <c r="U4" s="42">
        <f>SUMIFS(Tabel134232323[Quarter1],Tabel134232323[type],"E18",Tabel134232323[resolution],"PT15M")</f>
        <v>1</v>
      </c>
      <c r="V4" s="42">
        <f>SUMIFS(Tabel134232323[Quarter2],Tabel134232323[type],"E18",Tabel134232323[resolution],"PT15M")</f>
        <v>1</v>
      </c>
      <c r="W4" s="42">
        <f>SUMIFS(Tabel134232323[Quarter3],Tabel134232323[type],"E18",Tabel134232323[resolution],"PT15M")</f>
        <v>1</v>
      </c>
      <c r="X4" s="42">
        <f>SUMIFS(Tabel134232323[Quarter4],Tabel134232323[type],"E18",Tabel134232323[resolution],"PT15M")</f>
        <v>1</v>
      </c>
      <c r="Y4" s="24"/>
      <c r="Z4" s="24"/>
      <c r="AA4" s="24"/>
      <c r="AC4" s="24"/>
      <c r="AD4" s="24"/>
      <c r="AE4" s="24"/>
      <c r="AF4" s="24"/>
      <c r="AG4" s="24"/>
      <c r="AH4" s="24"/>
      <c r="AI4" s="24"/>
      <c r="AJ4" s="24"/>
    </row>
    <row r="5" spans="1:92" x14ac:dyDescent="0.25">
      <c r="C5" s="10"/>
      <c r="D5" s="10"/>
      <c r="E5" s="11"/>
      <c r="F5" s="12"/>
      <c r="G5" s="12"/>
      <c r="H5" s="41"/>
      <c r="I5" s="41"/>
      <c r="J5" s="43" t="str">
        <f t="shared" si="0"/>
        <v/>
      </c>
      <c r="K5" s="10"/>
      <c r="L5" s="10"/>
      <c r="M5" s="10"/>
      <c r="N5" s="10"/>
      <c r="O5" s="10"/>
      <c r="P5" s="29"/>
      <c r="Q5" s="29"/>
      <c r="R5" s="24"/>
      <c r="S5" s="7" t="s">
        <v>26</v>
      </c>
      <c r="T5" s="9">
        <f>SUMIFS(Tabel134232323[TotalHour],Tabel134232323[type],"E17",Tabel134232323[resolution],"PT15M")</f>
        <v>27</v>
      </c>
      <c r="U5" s="42">
        <f>SUMIFS(Tabel134232323[Quarter1],Tabel134232323[type],"E17",Tabel134232323[resolution],"PT15M")</f>
        <v>1.1000000000000001</v>
      </c>
      <c r="V5" s="42">
        <f>SUMIFS(Tabel134232323[Quarter2],Tabel134232323[type],"E17",Tabel134232323[resolution],"PT15M")</f>
        <v>2.2000000000000002</v>
      </c>
      <c r="W5" s="42">
        <f>SUMIFS(Tabel134232323[Quarter3],Tabel134232323[type],"E17",Tabel134232323[resolution],"PT15M")</f>
        <v>3.3</v>
      </c>
      <c r="X5" s="42">
        <f>SUMIFS(Tabel134232323[Quarter4],Tabel134232323[type],"E17",Tabel134232323[resolution],"PT15M")</f>
        <v>20.399999999999999</v>
      </c>
      <c r="Y5" s="24"/>
      <c r="Z5" s="24"/>
      <c r="AA5" s="24"/>
      <c r="AC5" s="24"/>
      <c r="AD5" s="24"/>
      <c r="AE5" s="24"/>
      <c r="AF5" s="24"/>
      <c r="AG5" s="24"/>
      <c r="AH5" s="24"/>
      <c r="AI5" s="24"/>
      <c r="AJ5" s="24"/>
    </row>
    <row r="6" spans="1:92" x14ac:dyDescent="0.25">
      <c r="C6" s="10" t="s">
        <v>99</v>
      </c>
      <c r="D6" s="10" t="s">
        <v>90</v>
      </c>
      <c r="E6" s="11" t="s">
        <v>91</v>
      </c>
      <c r="F6" s="12">
        <v>0.1</v>
      </c>
      <c r="G6" s="12">
        <v>0.2</v>
      </c>
      <c r="H6" s="12">
        <v>0.3</v>
      </c>
      <c r="I6" s="12">
        <v>0.4</v>
      </c>
      <c r="J6" s="43">
        <f t="shared" si="0"/>
        <v>1</v>
      </c>
      <c r="K6" s="10" t="s">
        <v>107</v>
      </c>
      <c r="L6" s="10" t="s">
        <v>93</v>
      </c>
      <c r="M6" s="10" t="s">
        <v>94</v>
      </c>
      <c r="N6" s="10"/>
      <c r="O6" s="10" t="s">
        <v>95</v>
      </c>
      <c r="P6" s="29"/>
      <c r="Q6" s="29"/>
      <c r="R6" s="24"/>
      <c r="S6" s="6" t="s">
        <v>31</v>
      </c>
      <c r="T6" s="9">
        <f>SUMIFS(Tabel134232323[TotalHour],Tabel134232323[type],"E20",Tabel134232323[resolution],"PT15M",Tabel134232323[to_ga],"800")</f>
        <v>0</v>
      </c>
      <c r="U6" s="42">
        <f>SUMIFS(Tabel134232323[Quarter1],Tabel134232323[type],"E20",Tabel134232323[resolution],"PT15M",Tabel134232323[to_ga],"800")</f>
        <v>0</v>
      </c>
      <c r="V6" s="42">
        <f>SUMIFS(Tabel134232323[Quarter2],Tabel134232323[type],"E20",Tabel134232323[resolution],"PT15M",Tabel134232323[to_ga],"800")</f>
        <v>0</v>
      </c>
      <c r="W6" s="42">
        <f>SUMIFS(Tabel134232323[Quarter3],Tabel134232323[type],"E20",Tabel134232323[resolution],"PT15M",Tabel134232323[to_ga],"800")</f>
        <v>0</v>
      </c>
      <c r="X6" s="42">
        <f>SUMIFS(Tabel134232323[Quarter4],Tabel134232323[type],"E20",Tabel134232323[resolution],"PT15M",Tabel134232323[to_ga],"800")</f>
        <v>0</v>
      </c>
      <c r="Y6" s="24"/>
      <c r="Z6" s="24"/>
      <c r="AA6" s="24"/>
      <c r="AC6" s="24"/>
      <c r="AD6" s="24"/>
      <c r="AE6" s="24"/>
      <c r="AF6" s="24"/>
      <c r="AG6" s="24"/>
      <c r="AH6" s="24"/>
      <c r="AI6" s="24"/>
      <c r="AJ6" s="24"/>
    </row>
    <row r="7" spans="1:92" x14ac:dyDescent="0.25">
      <c r="C7" s="10"/>
      <c r="D7" s="10"/>
      <c r="E7" s="11"/>
      <c r="F7" s="12"/>
      <c r="G7" s="12"/>
      <c r="H7" s="41"/>
      <c r="I7" s="41"/>
      <c r="J7" s="43" t="str">
        <f t="shared" si="0"/>
        <v/>
      </c>
      <c r="K7" s="10"/>
      <c r="L7" s="10"/>
      <c r="M7" s="10"/>
      <c r="N7" s="10"/>
      <c r="O7" s="10"/>
      <c r="P7" s="29"/>
      <c r="Q7" s="29"/>
      <c r="R7" s="24"/>
      <c r="S7" s="6" t="s">
        <v>42</v>
      </c>
      <c r="T7" s="9">
        <f>SUMIFS(Tabel134232323[TotalHour],Tabel134232323[type],"E20",Tabel134232323[resolution],"PT15M",Tabel134232323[from_ga],"800")</f>
        <v>0</v>
      </c>
      <c r="U7" s="42">
        <f>SUMIFS(Tabel134232323[Quarter1],Tabel134232323[type],"E20",Tabel134232323[resolution],"PT15M",Tabel134232323[from_ga],"800")</f>
        <v>0</v>
      </c>
      <c r="V7" s="42">
        <f>SUMIFS(Tabel134232323[Quarter2],Tabel134232323[type],"E20",Tabel134232323[resolution],"PT15M",Tabel134232323[from_ga],"800")</f>
        <v>0</v>
      </c>
      <c r="W7" s="42">
        <f>SUMIFS(Tabel134232323[Quarter3],Tabel134232323[type],"E20",Tabel134232323[resolution],"PT15M",Tabel134232323[from_ga],"800")</f>
        <v>0</v>
      </c>
      <c r="X7" s="42">
        <f>SUMIFS(Tabel134232323[Quarter4],Tabel134232323[type],"E20",Tabel134232323[resolution],"PT15M",Tabel134232323[from_ga],"800")</f>
        <v>0</v>
      </c>
      <c r="Y7" s="24"/>
      <c r="Z7" s="24"/>
      <c r="AA7" s="24"/>
      <c r="AC7" s="24"/>
      <c r="AD7" s="24"/>
      <c r="AE7" s="24"/>
      <c r="AF7" s="24"/>
      <c r="AG7" s="24"/>
      <c r="AH7" s="24"/>
      <c r="AI7" s="24"/>
      <c r="AJ7" s="24"/>
    </row>
    <row r="8" spans="1:92" x14ac:dyDescent="0.25">
      <c r="C8" s="10" t="s">
        <v>101</v>
      </c>
      <c r="D8" s="10" t="s">
        <v>103</v>
      </c>
      <c r="E8" s="11"/>
      <c r="F8" s="12">
        <v>1</v>
      </c>
      <c r="G8" s="12">
        <v>1</v>
      </c>
      <c r="H8" s="41">
        <v>1</v>
      </c>
      <c r="I8" s="41">
        <v>1</v>
      </c>
      <c r="J8" s="43">
        <f t="shared" si="0"/>
        <v>4</v>
      </c>
      <c r="K8" s="10" t="s">
        <v>107</v>
      </c>
      <c r="L8" s="10" t="s">
        <v>108</v>
      </c>
      <c r="M8" s="10" t="s">
        <v>109</v>
      </c>
      <c r="N8" s="10"/>
      <c r="O8" s="10" t="s">
        <v>95</v>
      </c>
      <c r="P8" s="29"/>
      <c r="Q8" s="29"/>
      <c r="R8" s="24"/>
      <c r="S8" s="24"/>
      <c r="T8" s="24"/>
      <c r="U8" s="24"/>
      <c r="V8" s="24"/>
      <c r="W8" s="24"/>
      <c r="X8" s="24"/>
      <c r="Y8" s="24"/>
      <c r="Z8" s="24"/>
      <c r="AA8" s="24"/>
      <c r="AC8" s="24"/>
      <c r="AD8" s="24"/>
      <c r="AE8" s="24"/>
      <c r="AF8" s="24"/>
      <c r="AG8" s="24"/>
      <c r="AH8" s="24"/>
      <c r="AI8" s="24"/>
      <c r="AJ8" s="24"/>
    </row>
    <row r="9" spans="1:92" x14ac:dyDescent="0.25">
      <c r="C9" s="10"/>
      <c r="D9" s="10"/>
      <c r="E9" s="11"/>
      <c r="F9" s="12"/>
      <c r="G9" s="12"/>
      <c r="H9" s="41"/>
      <c r="I9" s="41"/>
      <c r="J9" s="43" t="str">
        <f t="shared" si="0"/>
        <v/>
      </c>
      <c r="K9" s="10"/>
      <c r="L9" s="10"/>
      <c r="M9" s="10"/>
      <c r="N9" s="10"/>
      <c r="O9" s="10"/>
      <c r="P9" s="29"/>
      <c r="Q9" s="29"/>
      <c r="R9" s="24"/>
      <c r="S9" s="25"/>
      <c r="T9" s="7" t="s">
        <v>10</v>
      </c>
      <c r="U9" s="7" t="s">
        <v>9</v>
      </c>
      <c r="V9" s="7" t="s">
        <v>85</v>
      </c>
      <c r="W9" s="7" t="s">
        <v>45</v>
      </c>
      <c r="X9" s="7" t="s">
        <v>46</v>
      </c>
      <c r="Y9" s="7" t="s">
        <v>47</v>
      </c>
      <c r="Z9" s="27"/>
      <c r="AA9" s="24"/>
      <c r="AC9" s="24"/>
      <c r="AD9" s="35"/>
      <c r="AE9" s="35"/>
      <c r="AF9" s="35"/>
      <c r="AG9" s="35"/>
      <c r="AH9" s="35"/>
      <c r="AI9" s="24"/>
      <c r="AJ9" s="24"/>
    </row>
    <row r="10" spans="1:92" x14ac:dyDescent="0.25">
      <c r="C10" s="10" t="s">
        <v>102</v>
      </c>
      <c r="D10" s="10" t="s">
        <v>104</v>
      </c>
      <c r="E10" s="11"/>
      <c r="F10" s="12">
        <v>30.501000000000001</v>
      </c>
      <c r="G10" s="12"/>
      <c r="H10" s="41"/>
      <c r="I10" s="41"/>
      <c r="J10" s="43">
        <f t="shared" si="0"/>
        <v>30.501000000000001</v>
      </c>
      <c r="K10" s="10" t="s">
        <v>92</v>
      </c>
      <c r="L10" s="10"/>
      <c r="M10" s="10"/>
      <c r="N10" s="10"/>
      <c r="O10" s="10" t="s">
        <v>95</v>
      </c>
      <c r="P10" s="29" t="s">
        <v>96</v>
      </c>
      <c r="Q10" s="29" t="s">
        <v>95</v>
      </c>
      <c r="R10" s="15" t="s">
        <v>74</v>
      </c>
      <c r="S10" s="26" t="str">
        <f>_xlfn.IFNA(INDEX(Tabel134232323[ga_id],MATCH(U10,Tabel134232323[es_id],0)),"")</f>
        <v>800</v>
      </c>
      <c r="T10" s="26" t="str">
        <f>_xlfn.IFNA(INDEX(Tabel134232323[brp_id],MATCH(U10,Tabel134232323[es_id],0)),"")</f>
        <v>2200000000000</v>
      </c>
      <c r="U10" s="26" t="str">
        <f>IF(AE$2=0,"",AE$2)</f>
        <v>2000000000000</v>
      </c>
      <c r="V10" s="20">
        <f>SUMIFS(Tabel134232323[TotalHour],Tabel134232323[es_id],U10,IF(B$2="production",Tabel134232323[type],Tabel134232323[settlement_method]),AG$2,Tabel134232323[resolution],"PT1H")/4</f>
        <v>0</v>
      </c>
      <c r="W10" s="19">
        <f>V10</f>
        <v>0</v>
      </c>
      <c r="X10" s="19"/>
      <c r="Y10" s="23">
        <f t="shared" ref="Y10:Y33" si="1">ROUND(W10, 3)</f>
        <v>0</v>
      </c>
      <c r="Z10" s="27"/>
      <c r="AA10" s="24"/>
      <c r="AC10" s="27"/>
      <c r="AD10" s="36"/>
      <c r="AE10" s="36"/>
      <c r="AF10" s="36"/>
      <c r="AG10" s="36"/>
      <c r="AH10" s="35"/>
      <c r="AI10" s="24"/>
      <c r="AJ10" s="24"/>
    </row>
    <row r="11" spans="1:92" x14ac:dyDescent="0.25">
      <c r="C11" s="10"/>
      <c r="D11" s="10"/>
      <c r="E11" s="11"/>
      <c r="F11" s="12"/>
      <c r="G11" s="12"/>
      <c r="H11" s="41"/>
      <c r="I11" s="41"/>
      <c r="J11" s="43" t="str">
        <f t="shared" si="0"/>
        <v/>
      </c>
      <c r="K11" s="10"/>
      <c r="L11" s="10"/>
      <c r="M11" s="10"/>
      <c r="N11" s="10"/>
      <c r="O11" s="10"/>
      <c r="P11" s="29"/>
      <c r="Q11" s="29"/>
      <c r="R11" s="15" t="s">
        <v>75</v>
      </c>
      <c r="S11" s="26" t="str">
        <f>_xlfn.IFNA(INDEX(Tabel134232323[ga_id],MATCH(U11,Tabel134232323[es_id],0)),"")</f>
        <v>800</v>
      </c>
      <c r="T11" s="26" t="str">
        <f>_xlfn.IFNA(INDEX(Tabel134232323[brp_id],MATCH(U11,Tabel134232323[es_id],0)),"")</f>
        <v>2200000000000</v>
      </c>
      <c r="U11" s="26" t="str">
        <f t="shared" ref="U11:V13" si="2">U$10</f>
        <v>2000000000000</v>
      </c>
      <c r="V11" s="19">
        <f t="shared" si="2"/>
        <v>0</v>
      </c>
      <c r="W11" s="19">
        <f>X11+W10</f>
        <v>0</v>
      </c>
      <c r="X11" s="19">
        <f>V11-Y10</f>
        <v>0</v>
      </c>
      <c r="Y11" s="23">
        <f t="shared" si="1"/>
        <v>0</v>
      </c>
      <c r="Z11" s="27"/>
      <c r="AA11" s="24"/>
      <c r="AC11" s="27"/>
      <c r="AD11" s="36"/>
      <c r="AE11" s="36"/>
      <c r="AF11" s="36"/>
      <c r="AG11" s="36"/>
      <c r="AH11" s="35"/>
      <c r="AI11" s="24"/>
      <c r="AJ11" s="24"/>
    </row>
    <row r="12" spans="1:92" x14ac:dyDescent="0.25">
      <c r="C12" s="10"/>
      <c r="D12" s="10"/>
      <c r="E12" s="11"/>
      <c r="F12" s="12"/>
      <c r="G12" s="12"/>
      <c r="H12" s="41"/>
      <c r="I12" s="41"/>
      <c r="J12" s="43" t="str">
        <f t="shared" si="0"/>
        <v/>
      </c>
      <c r="K12" s="10"/>
      <c r="L12" s="10"/>
      <c r="M12" s="10"/>
      <c r="N12" s="10"/>
      <c r="O12" s="10"/>
      <c r="P12" s="29"/>
      <c r="Q12" s="29"/>
      <c r="R12" s="15" t="s">
        <v>76</v>
      </c>
      <c r="S12" s="26" t="str">
        <f>_xlfn.IFNA(INDEX(Tabel134232323[ga_id],MATCH(U12,Tabel134232323[es_id],0)),"")</f>
        <v>800</v>
      </c>
      <c r="T12" s="26" t="str">
        <f>_xlfn.IFNA(INDEX(Tabel134232323[brp_id],MATCH(U12,Tabel134232323[es_id],0)),"")</f>
        <v>2200000000000</v>
      </c>
      <c r="U12" s="26" t="str">
        <f t="shared" si="2"/>
        <v>2000000000000</v>
      </c>
      <c r="V12" s="19">
        <f t="shared" si="2"/>
        <v>0</v>
      </c>
      <c r="W12" s="19">
        <f>X12+W11</f>
        <v>0</v>
      </c>
      <c r="X12" s="19">
        <f>V12-Y11</f>
        <v>0</v>
      </c>
      <c r="Y12" s="23">
        <f t="shared" si="1"/>
        <v>0</v>
      </c>
      <c r="Z12" s="27"/>
      <c r="AA12" s="24"/>
      <c r="AC12" s="27"/>
      <c r="AD12" s="36"/>
      <c r="AE12" s="36" t="s">
        <v>111</v>
      </c>
      <c r="AF12" s="36" t="s">
        <v>112</v>
      </c>
      <c r="AG12" s="36"/>
      <c r="AH12" s="35"/>
      <c r="AI12" s="24"/>
      <c r="AJ12" s="24"/>
    </row>
    <row r="13" spans="1:92" x14ac:dyDescent="0.25">
      <c r="C13" s="10"/>
      <c r="D13" s="10"/>
      <c r="E13" s="11"/>
      <c r="F13" s="12"/>
      <c r="G13" s="12"/>
      <c r="H13" s="41"/>
      <c r="I13" s="41"/>
      <c r="J13" s="43" t="str">
        <f t="shared" si="0"/>
        <v/>
      </c>
      <c r="K13" s="10"/>
      <c r="L13" s="10"/>
      <c r="M13" s="10"/>
      <c r="N13" s="10"/>
      <c r="O13" s="10"/>
      <c r="P13" s="29"/>
      <c r="Q13" s="29"/>
      <c r="R13" s="15" t="s">
        <v>77</v>
      </c>
      <c r="S13" s="26" t="str">
        <f>_xlfn.IFNA(INDEX(Tabel134232323[ga_id],MATCH(U13,Tabel134232323[es_id],0)),"")</f>
        <v>800</v>
      </c>
      <c r="T13" s="26" t="str">
        <f>_xlfn.IFNA(INDEX(Tabel134232323[brp_id],MATCH(U13,Tabel134232323[es_id],0)),"")</f>
        <v>2200000000000</v>
      </c>
      <c r="U13" s="26" t="str">
        <f t="shared" si="2"/>
        <v>2000000000000</v>
      </c>
      <c r="V13" s="19">
        <f t="shared" si="2"/>
        <v>0</v>
      </c>
      <c r="W13" s="19">
        <f>X13+W12</f>
        <v>0</v>
      </c>
      <c r="X13" s="19">
        <f>V13-Y12</f>
        <v>0</v>
      </c>
      <c r="Y13" s="23">
        <f t="shared" si="1"/>
        <v>0</v>
      </c>
      <c r="Z13" s="27"/>
      <c r="AA13" s="24"/>
      <c r="AC13" s="2"/>
      <c r="AD13" s="36"/>
      <c r="AE13" s="36" t="str" cm="1">
        <f t="array" ref="AE13:AE14">_xlfn._xlws.SORT(_xlfn.UNIQUE(_xlfn._xlws.FILTER(Tabel134232323[es_id],Tabel134232323[es_id] &lt;&gt; "")))</f>
        <v>1000000000000</v>
      </c>
      <c r="AF13" s="36" t="str" cm="1">
        <f t="array" ref="AF13:AF14">_xlfn._xlws.SORT(_xlfn.UNIQUE(_xlfn._xlws.FILTER(Tabel134232323[brp_id],Tabel134232323[brp_id] &lt;&gt; "")))</f>
        <v>1100000000000</v>
      </c>
      <c r="AG13" s="36"/>
      <c r="AH13" s="35"/>
    </row>
    <row r="14" spans="1:92" x14ac:dyDescent="0.25">
      <c r="C14" s="10"/>
      <c r="D14" s="10"/>
      <c r="E14" s="11"/>
      <c r="F14" s="12"/>
      <c r="G14" s="12"/>
      <c r="H14" s="41"/>
      <c r="I14" s="41"/>
      <c r="J14" s="43" t="str">
        <f t="shared" si="0"/>
        <v/>
      </c>
      <c r="K14" s="10"/>
      <c r="L14" s="10"/>
      <c r="M14" s="10"/>
      <c r="N14" s="10"/>
      <c r="O14" s="10"/>
      <c r="P14" s="29"/>
      <c r="Q14" s="29"/>
      <c r="R14" s="15" t="s">
        <v>74</v>
      </c>
      <c r="S14" s="26" t="str">
        <f>_xlfn.IFNA(INDEX(Tabel134232323[ga_id],MATCH(U14,Tabel134232323[es_id],0)),"")</f>
        <v/>
      </c>
      <c r="T14" s="26" t="str">
        <f>_xlfn.IFNA(INDEX(Tabel134232323[brp_id],MATCH(U14,Tabel134232323[es_id],0)),"")</f>
        <v/>
      </c>
      <c r="U14" s="26" t="str">
        <f>IF(AE$3=0,"",AE$3)</f>
        <v/>
      </c>
      <c r="V14" s="20">
        <f>SUMIFS(Tabel134232323[TotalHour],Tabel134232323[es_id],U14,IF(B$2="production",Tabel134232323[type],Tabel134232323[settlement_method]),AG$2,Tabel134232323[resolution],"PT1H")/4</f>
        <v>0</v>
      </c>
      <c r="W14" s="19">
        <f>V14</f>
        <v>0</v>
      </c>
      <c r="X14" s="19"/>
      <c r="Y14" s="23">
        <f t="shared" si="1"/>
        <v>0</v>
      </c>
      <c r="Z14" s="27"/>
      <c r="AA14" s="27"/>
      <c r="AB14" s="2"/>
      <c r="AC14" s="2"/>
      <c r="AD14" s="36"/>
      <c r="AE14" s="36" t="str">
        <v>2000000000000</v>
      </c>
      <c r="AF14" s="36" t="str">
        <v>2200000000000</v>
      </c>
      <c r="AG14" s="36"/>
      <c r="AH14" s="36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spans="1:92" x14ac:dyDescent="0.25">
      <c r="C15" s="13"/>
      <c r="D15" s="10"/>
      <c r="E15" s="11"/>
      <c r="F15" s="12"/>
      <c r="G15" s="12"/>
      <c r="H15" s="41"/>
      <c r="I15" s="41"/>
      <c r="J15" s="43" t="str">
        <f t="shared" si="0"/>
        <v/>
      </c>
      <c r="K15" s="10"/>
      <c r="L15" s="10"/>
      <c r="M15" s="10"/>
      <c r="N15" s="10"/>
      <c r="O15" s="10"/>
      <c r="P15" s="29"/>
      <c r="Q15" s="29"/>
      <c r="R15" s="15" t="s">
        <v>75</v>
      </c>
      <c r="S15" s="26" t="str">
        <f>_xlfn.IFNA(INDEX(Tabel134232323[ga_id],MATCH(U15,Tabel134232323[es_id],0)),"")</f>
        <v/>
      </c>
      <c r="T15" s="26" t="str">
        <f>_xlfn.IFNA(INDEX(Tabel134232323[brp_id],MATCH(U15,Tabel134232323[es_id],0)),"")</f>
        <v/>
      </c>
      <c r="U15" s="26" t="str">
        <f t="shared" ref="U15:V17" si="3">U$14</f>
        <v/>
      </c>
      <c r="V15" s="19">
        <f t="shared" si="3"/>
        <v>0</v>
      </c>
      <c r="W15" s="19">
        <f>X15+W14</f>
        <v>0</v>
      </c>
      <c r="X15" s="19">
        <f>V15-Y14</f>
        <v>0</v>
      </c>
      <c r="Y15" s="23">
        <f t="shared" si="1"/>
        <v>0</v>
      </c>
      <c r="Z15" s="27"/>
      <c r="AA15" s="27"/>
      <c r="AB15" s="2"/>
      <c r="AC15" s="2"/>
      <c r="AD15" s="36"/>
      <c r="AE15" s="36"/>
      <c r="AF15" s="36"/>
      <c r="AG15" s="36"/>
      <c r="AH15" s="36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spans="1:92" x14ac:dyDescent="0.25">
      <c r="C16" s="13"/>
      <c r="D16" s="10"/>
      <c r="E16" s="11"/>
      <c r="F16" s="12"/>
      <c r="G16" s="12"/>
      <c r="H16" s="41"/>
      <c r="I16" s="41"/>
      <c r="J16" s="43" t="str">
        <f t="shared" si="0"/>
        <v/>
      </c>
      <c r="K16" s="10"/>
      <c r="L16" s="10"/>
      <c r="M16" s="10"/>
      <c r="N16" s="10"/>
      <c r="O16" s="10"/>
      <c r="P16" s="29"/>
      <c r="Q16" s="29"/>
      <c r="R16" s="15" t="s">
        <v>76</v>
      </c>
      <c r="S16" s="26" t="str">
        <f>_xlfn.IFNA(INDEX(Tabel134232323[ga_id],MATCH(U16,Tabel134232323[es_id],0)),"")</f>
        <v/>
      </c>
      <c r="T16" s="26" t="str">
        <f>_xlfn.IFNA(INDEX(Tabel134232323[brp_id],MATCH(U16,Tabel134232323[es_id],0)),"")</f>
        <v/>
      </c>
      <c r="U16" s="26" t="str">
        <f t="shared" si="3"/>
        <v/>
      </c>
      <c r="V16" s="19">
        <f t="shared" si="3"/>
        <v>0</v>
      </c>
      <c r="W16" s="19">
        <f>X16+W15</f>
        <v>0</v>
      </c>
      <c r="X16" s="19">
        <f>V16-Y15</f>
        <v>0</v>
      </c>
      <c r="Y16" s="23">
        <f t="shared" si="1"/>
        <v>0</v>
      </c>
      <c r="Z16" s="27"/>
      <c r="AA16" s="27"/>
      <c r="AB16" s="2"/>
      <c r="AC16" s="2"/>
      <c r="AD16" s="36"/>
      <c r="AE16" s="36"/>
      <c r="AF16" s="36"/>
      <c r="AG16" s="36"/>
      <c r="AH16" s="36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spans="1:92" x14ac:dyDescent="0.25">
      <c r="C17" s="10"/>
      <c r="D17" s="10"/>
      <c r="E17" s="11"/>
      <c r="F17" s="12"/>
      <c r="G17" s="12"/>
      <c r="H17" s="41"/>
      <c r="I17" s="41"/>
      <c r="J17" s="43" t="str">
        <f t="shared" si="0"/>
        <v/>
      </c>
      <c r="K17" s="10"/>
      <c r="L17" s="10"/>
      <c r="M17" s="10"/>
      <c r="N17" s="10"/>
      <c r="O17" s="10"/>
      <c r="P17" s="29"/>
      <c r="Q17" s="29"/>
      <c r="R17" s="15" t="s">
        <v>77</v>
      </c>
      <c r="S17" s="26" t="str">
        <f>_xlfn.IFNA(INDEX(Tabel134232323[ga_id],MATCH(U17,Tabel134232323[es_id],0)),"")</f>
        <v/>
      </c>
      <c r="T17" s="26" t="str">
        <f>_xlfn.IFNA(INDEX(Tabel134232323[brp_id],MATCH(U17,Tabel134232323[es_id],0)),"")</f>
        <v/>
      </c>
      <c r="U17" s="26" t="str">
        <f t="shared" si="3"/>
        <v/>
      </c>
      <c r="V17" s="19">
        <f t="shared" si="3"/>
        <v>0</v>
      </c>
      <c r="W17" s="19">
        <f>X17+W16</f>
        <v>0</v>
      </c>
      <c r="X17" s="19">
        <f>V17-Y16</f>
        <v>0</v>
      </c>
      <c r="Y17" s="23">
        <f t="shared" si="1"/>
        <v>0</v>
      </c>
      <c r="Z17" s="27"/>
      <c r="AA17" s="27"/>
      <c r="AB17" s="2"/>
      <c r="AC17" s="2"/>
      <c r="AD17" s="36"/>
      <c r="AE17" s="36"/>
      <c r="AF17" s="36"/>
      <c r="AG17" s="36"/>
      <c r="AH17" s="36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spans="1:92" x14ac:dyDescent="0.25">
      <c r="C18" s="10"/>
      <c r="D18" s="10"/>
      <c r="E18" s="11"/>
      <c r="F18" s="12"/>
      <c r="G18" s="12"/>
      <c r="H18" s="41"/>
      <c r="I18" s="41"/>
      <c r="J18" s="43" t="str">
        <f t="shared" si="0"/>
        <v/>
      </c>
      <c r="K18" s="10"/>
      <c r="L18" s="10"/>
      <c r="M18" s="10"/>
      <c r="N18" s="10"/>
      <c r="O18" s="10"/>
      <c r="P18" s="29"/>
      <c r="Q18" s="29"/>
      <c r="R18" s="15" t="s">
        <v>74</v>
      </c>
      <c r="S18" s="26" t="str">
        <f>_xlfn.IFNA(INDEX(Tabel134232323[ga_id],MATCH(U18,Tabel134232323[es_id],0)),"")</f>
        <v/>
      </c>
      <c r="T18" s="26" t="str">
        <f>_xlfn.IFNA(INDEX(Tabel134232323[brp_id],MATCH(U18,Tabel134232323[es_id],0)),"")</f>
        <v/>
      </c>
      <c r="U18" s="26" t="str">
        <f>IF(AE$4=0,"",AE$4)</f>
        <v/>
      </c>
      <c r="V18" s="20">
        <f>SUMIFS(Tabel134232323[TotalHour],Tabel134232323[es_id],U18,IF(B$2="production",Tabel134232323[type],Tabel134232323[settlement_method]),AG$2,Tabel134232323[resolution],"PT1H")/4</f>
        <v>0</v>
      </c>
      <c r="W18" s="19">
        <f>V18</f>
        <v>0</v>
      </c>
      <c r="X18" s="19"/>
      <c r="Y18" s="23">
        <f t="shared" si="1"/>
        <v>0</v>
      </c>
      <c r="Z18" s="27"/>
      <c r="AA18" s="27"/>
      <c r="AB18" s="2"/>
      <c r="AC18" s="2"/>
      <c r="AD18" s="36"/>
      <c r="AE18" s="35"/>
      <c r="AF18" s="36"/>
      <c r="AG18" s="36"/>
      <c r="AH18" s="3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spans="1:92" x14ac:dyDescent="0.25">
      <c r="C19" s="10"/>
      <c r="D19" s="10"/>
      <c r="E19" s="11"/>
      <c r="F19" s="12"/>
      <c r="G19" s="12"/>
      <c r="H19" s="41"/>
      <c r="I19" s="41"/>
      <c r="J19" s="43" t="str">
        <f t="shared" si="0"/>
        <v/>
      </c>
      <c r="K19" s="10"/>
      <c r="L19" s="10"/>
      <c r="M19" s="10"/>
      <c r="N19" s="10"/>
      <c r="O19" s="10"/>
      <c r="P19" s="29"/>
      <c r="Q19" s="29"/>
      <c r="R19" s="15" t="s">
        <v>75</v>
      </c>
      <c r="S19" s="26" t="str">
        <f>_xlfn.IFNA(INDEX(Tabel134232323[ga_id],MATCH(U19,Tabel134232323[es_id],0)),"")</f>
        <v/>
      </c>
      <c r="T19" s="26" t="str">
        <f>_xlfn.IFNA(INDEX(Tabel134232323[brp_id],MATCH(U19,Tabel134232323[es_id],0)),"")</f>
        <v/>
      </c>
      <c r="U19" s="26" t="str">
        <f t="shared" ref="U19:V21" si="4">U$18</f>
        <v/>
      </c>
      <c r="V19" s="19">
        <f t="shared" si="4"/>
        <v>0</v>
      </c>
      <c r="W19" s="19">
        <f>X19+W18</f>
        <v>0</v>
      </c>
      <c r="X19" s="19">
        <f>V19-Y18</f>
        <v>0</v>
      </c>
      <c r="Y19" s="23">
        <f t="shared" si="1"/>
        <v>0</v>
      </c>
      <c r="Z19" s="27"/>
      <c r="AA19" s="27"/>
      <c r="AB19" s="2"/>
      <c r="AC19" s="2"/>
      <c r="AD19" s="36"/>
      <c r="AE19" s="36"/>
      <c r="AF19" s="36"/>
      <c r="AG19" s="36"/>
      <c r="AH19" s="36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spans="1:92" ht="23.25" x14ac:dyDescent="0.35">
      <c r="E20" s="44" t="str">
        <f>CONCATENATE(B2,"_per_",B1)</f>
        <v>production_per_ga_brp_es</v>
      </c>
      <c r="F20" s="44"/>
      <c r="G20" s="44"/>
      <c r="H20" s="44"/>
      <c r="I20" s="45" t="s">
        <v>21</v>
      </c>
      <c r="J20" s="46"/>
      <c r="K20" s="47"/>
      <c r="R20" s="15" t="s">
        <v>76</v>
      </c>
      <c r="S20" s="26" t="str">
        <f>_xlfn.IFNA(INDEX(Tabel134232323[ga_id],MATCH(U20,Tabel134232323[es_id],0)),"")</f>
        <v/>
      </c>
      <c r="T20" s="26" t="str">
        <f>_xlfn.IFNA(INDEX(Tabel134232323[brp_id],MATCH(U20,Tabel134232323[es_id],0)),"")</f>
        <v/>
      </c>
      <c r="U20" s="26" t="str">
        <f t="shared" si="4"/>
        <v/>
      </c>
      <c r="V20" s="19">
        <f t="shared" si="4"/>
        <v>0</v>
      </c>
      <c r="W20" s="19">
        <f>X20+W19</f>
        <v>0</v>
      </c>
      <c r="X20" s="19">
        <f>V20-Y19</f>
        <v>0</v>
      </c>
      <c r="Y20" s="23">
        <f t="shared" si="1"/>
        <v>0</v>
      </c>
      <c r="Z20" s="27"/>
      <c r="AA20" s="27"/>
      <c r="AB20" s="2"/>
      <c r="AC20" s="2"/>
      <c r="AD20" s="36"/>
      <c r="AE20" s="36"/>
      <c r="AF20" s="36"/>
      <c r="AG20" s="36"/>
      <c r="AH20" s="36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</row>
    <row r="21" spans="1:92" ht="18.75" x14ac:dyDescent="0.3">
      <c r="B21" s="3" t="s">
        <v>24</v>
      </c>
      <c r="C21" s="3" t="s">
        <v>23</v>
      </c>
      <c r="D21" s="4" t="s">
        <v>20</v>
      </c>
      <c r="E21" s="4" t="s">
        <v>18</v>
      </c>
      <c r="F21" s="5" t="s">
        <v>0</v>
      </c>
      <c r="G21" s="5" t="s">
        <v>1</v>
      </c>
      <c r="H21" s="5" t="s">
        <v>2</v>
      </c>
      <c r="I21" s="6" t="s">
        <v>15</v>
      </c>
      <c r="J21" s="6" t="s">
        <v>14</v>
      </c>
      <c r="K21" s="7" t="s">
        <v>78</v>
      </c>
      <c r="L21" s="2"/>
      <c r="M21" s="2"/>
      <c r="N21" s="2"/>
      <c r="O21" s="2"/>
      <c r="P21" s="2"/>
      <c r="Q21" s="2"/>
      <c r="R21" s="15" t="s">
        <v>77</v>
      </c>
      <c r="S21" s="26" t="str">
        <f>_xlfn.IFNA(INDEX(Tabel134232323[ga_id],MATCH(U21,Tabel134232323[es_id],0)),"")</f>
        <v/>
      </c>
      <c r="T21" s="26" t="str">
        <f>_xlfn.IFNA(INDEX(Tabel134232323[brp_id],MATCH(U21,Tabel134232323[es_id],0)),"")</f>
        <v/>
      </c>
      <c r="U21" s="26" t="str">
        <f t="shared" si="4"/>
        <v/>
      </c>
      <c r="V21" s="19">
        <f t="shared" si="4"/>
        <v>0</v>
      </c>
      <c r="W21" s="19">
        <f>X21+W20</f>
        <v>0</v>
      </c>
      <c r="X21" s="19">
        <f>V21-Y20</f>
        <v>0</v>
      </c>
      <c r="Y21" s="23">
        <f t="shared" si="1"/>
        <v>0</v>
      </c>
      <c r="Z21" s="27"/>
      <c r="AA21" s="27"/>
      <c r="AB21" s="2"/>
      <c r="AC21" s="2"/>
      <c r="AD21" s="36"/>
      <c r="AE21" s="35"/>
      <c r="AF21" s="35"/>
      <c r="AG21" s="36"/>
      <c r="AH21" s="36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spans="1:92" x14ac:dyDescent="0.25">
      <c r="A22" s="2"/>
      <c r="B22" s="16" t="str">
        <f>IF(AND(F22&lt;&gt;"null",F22&lt;&gt;""),IF(F22=INDEX(Tabel134232323[es_id],MATCH("GLMP",Tabel134232323[note],0),1),"glmp",""),IF(AND(G22&lt;&gt;"null",G22&lt;&gt;""),IF(G22=INDEX(Tabel134232323[brp_id],MATCH("GLMP",Tabel134232323[note],0),1),"glmp",""),IF(E22=INDEX(Tabel134232323[ga_id],MATCH("GLMP",Tabel134232323[note],0),1),"glmp","")))</f>
        <v/>
      </c>
      <c r="C22" s="16" t="str">
        <f>IF(AND(F22&lt;&gt;"null",F22&lt;&gt;""),IF(F22=INDEX(Tabel134232323[es_id],MATCH("SKMP",Tabel134232323[note],0),1),"skmp",""),IF(AND(G22&lt;&gt;"null",G22&lt;&gt;""),IF(G22=INDEX(Tabel134232323[brp_id],MATCH("SKMP",Tabel134232323[note],0),1),"skmp",""),IF(E22=INDEX(Tabel134232323[ga_id],MATCH("SKMP",Tabel134232323[note],0),1),"skmp","")))</f>
        <v>skmp</v>
      </c>
      <c r="D22" s="15" t="s">
        <v>74</v>
      </c>
      <c r="E22" s="31" t="str">
        <f>IF(B$1="ga",IF(AND(ROW()&gt;21,ROW()&lt;26),$AD$2,""),IF(OR(B$1="ga_es",B$1="ga_brp_es"),IF(AND(ROW()&lt;22+(COUNTA(AE$2:AE$11)*4),ROW()&gt;21),$AD$2,""),IF(B$1="ga_brp",IF(AND(ROW()&lt;22+(COUNTA(AF$2:AF$11)*4),ROW()&gt;21),$AD$2,""))))</f>
        <v>800</v>
      </c>
      <c r="F22" s="31" t="str">
        <f>IF(B$1="ga",IF(E22="","","null"),IF(OR(B$1="ga_es",B$1="ga_brp_es"),IF(AE$2=0,"",AE$2),IF(B$1="ga_brp",IF(G22="","","null"))))</f>
        <v>2000000000000</v>
      </c>
      <c r="G22" s="31" t="str">
        <f>IF(B$1="ga",IF(E22="","","null"),IF(B$1="ga_es",IF(F22="","","null"),IF(B$1="ga_brp",IF(AF$2=0,"",AF$2),IF(F22="","",INDEX(Tabel134232323[brp_id],MATCH(F22,Tabel134232323[es_id],0),1)))))</f>
        <v>2200000000000</v>
      </c>
      <c r="H22" s="33" t="str">
        <f t="shared" ref="H22:H45" ca="1" si="5">SUBSTITUTE(IF(E22="","",I22+J22+K22),",",".")</f>
        <v>1</v>
      </c>
      <c r="I22" s="9">
        <f>SUMIFS(Y$10:Y$33,IF(OR(B$1="ga_es",B$1="ga_brp_es"),U$10:U$33,IF(B$1="ga_brp",T$10:T$33,S$10:S$33)),IF(OR(B$1="ga_es",B$1="ga_brp_es"),F22,IF(B$1="ga_brp",G22,E22)),R$10:R$33,D22)</f>
        <v>0</v>
      </c>
      <c r="J22" s="9">
        <f ca="1">SUMIFS(INDIRECT(ADDRESS(2,MATCH(D22,$1:$1,0),4,1)&amp;":"&amp;ADDRESS(19,MATCH(D22,$1:$1,0),4,1)),IF(OR(B$1="ga_es",B$1="ga_brp_es"),Tabel134232323[es_id],IF(B$1="ga_brp",Tabel134232323[brp_id],Tabel134232323[ga_id])),IF(OR(B$1="ga_es",B$1="ga_brp_es"),F22,IF(B$1="ga_brp",G22,E22)),IF(B$2="production",Tabel134232323[type],Tabel134232323[settlement_method]),AG$2,Tabel134232323[resolution],"PT15M")</f>
        <v>1</v>
      </c>
      <c r="K22" s="9">
        <f t="shared" ref="K22:K45" si="6">IF(AND(C22="skmp",B$2="production"),VLOOKUP(D22,D$78:H$81,5,FALSE),IF(AND(B22="glmp",B$2="flex_consumption"),VLOOKUP(D22,D$72:H$75,5,FALSE),0))</f>
        <v>0</v>
      </c>
      <c r="L22" s="37"/>
      <c r="M22" s="2"/>
      <c r="N22" s="2"/>
      <c r="O22" s="2"/>
      <c r="P22" s="2"/>
      <c r="Q22" s="2"/>
      <c r="R22" s="15" t="s">
        <v>74</v>
      </c>
      <c r="S22" s="26" t="str">
        <f>_xlfn.IFNA(INDEX(Tabel134232323[ga_id],MATCH(U22,Tabel134232323[es_id],0)),"")</f>
        <v/>
      </c>
      <c r="T22" s="26" t="str">
        <f>_xlfn.IFNA(INDEX(Tabel134232323[brp_id],MATCH(U22,Tabel134232323[es_id],0)),"")</f>
        <v/>
      </c>
      <c r="U22" s="26" t="str">
        <f>IF(AE$5=0,"",AE$5)</f>
        <v/>
      </c>
      <c r="V22" s="20">
        <f>SUMIFS(Tabel134232323[TotalHour],Tabel134232323[es_id],U22,IF(B$2="production",Tabel134232323[type],Tabel134232323[settlement_method]),AG$2,Tabel134232323[resolution],"PT1H")/4</f>
        <v>0</v>
      </c>
      <c r="W22" s="19">
        <f>V22</f>
        <v>0</v>
      </c>
      <c r="X22" s="19"/>
      <c r="Y22" s="23">
        <f t="shared" si="1"/>
        <v>0</v>
      </c>
      <c r="Z22" s="27"/>
      <c r="AA22" s="27"/>
      <c r="AB22" s="2"/>
      <c r="AC22" s="2"/>
      <c r="AD22" s="36"/>
      <c r="AE22" s="35"/>
      <c r="AF22" s="35"/>
      <c r="AG22" s="36"/>
      <c r="AH22" s="3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</row>
    <row r="23" spans="1:92" x14ac:dyDescent="0.25">
      <c r="B23" s="16" t="str">
        <f>IF(AND(F23&lt;&gt;"null",F23&lt;&gt;""),IF(F23=INDEX(Tabel134232323[es_id],MATCH("GLMP",Tabel134232323[note],0),1),"glmp",""),IF(AND(G23&lt;&gt;"null",G23&lt;&gt;""),IF(G23=INDEX(Tabel134232323[brp_id],MATCH("GLMP",Tabel134232323[note],0),1),"glmp",""),IF(E23=INDEX(Tabel134232323[ga_id],MATCH("GLMP",Tabel134232323[note],0),1),"glmp","")))</f>
        <v/>
      </c>
      <c r="C23" s="16" t="str">
        <f>IF(AND(F23&lt;&gt;"null",F23&lt;&gt;""),IF(F23=INDEX(Tabel134232323[es_id],MATCH("SKMP",Tabel134232323[note],0),1),"skmp",""),IF(AND(G23&lt;&gt;"null",G23&lt;&gt;""),IF(G23=INDEX(Tabel134232323[brp_id],MATCH("SKMP",Tabel134232323[note],0),1),"skmp",""),IF(E23=INDEX(Tabel134232323[ga_id],MATCH("SKMP",Tabel134232323[note],0),1),"skmp","")))</f>
        <v>skmp</v>
      </c>
      <c r="D23" s="15" t="s">
        <v>75</v>
      </c>
      <c r="E23" s="31" t="str">
        <f t="shared" ref="E23:E45" si="7">IF(B$1="ga",IF(AND(ROW()&gt;21,ROW()&lt;26),$AD$2,""),IF(OR(B$1="ga_es",B$1="ga_brp_es"),IF(AND(ROW()&lt;22+(COUNTA(AE$2:AE$11)*4),ROW()&gt;21),$AD$2,""),IF(B$1="ga_brp",IF(AND(ROW()&lt;22+(COUNTA(AF$2:AF$11)*4),ROW()&gt;21),$AD$2,""))))</f>
        <v>800</v>
      </c>
      <c r="F23" s="31" t="str">
        <f>IF(B$1="ga",IF(E23="","","null"),IF(OR(B$1="ga_es",B$1="ga_brp_es"),IF(AE$2=0,"",AE$2),IF(B$1="ga_brp",IF(G23="","","null"))))</f>
        <v>2000000000000</v>
      </c>
      <c r="G23" s="31" t="str">
        <f>IF(B$1="ga",IF(E23="","","null"),IF(B$1="ga_es",IF(F23="","","null"),IF(B$1="ga_brp",IF(AF$2=0,"",AF$2),IF(F23="","",INDEX(Tabel134232323[brp_id],MATCH(F23,Tabel134232323[es_id],0),1)))))</f>
        <v>2200000000000</v>
      </c>
      <c r="H23" s="33" t="str">
        <f t="shared" ca="1" si="5"/>
        <v>1</v>
      </c>
      <c r="I23" s="9">
        <f t="shared" ref="I23:I45" si="8">SUMIFS(Y$10:Y$33,IF(OR(B$1="ga_es",B$1="ga_brp_es"),U$10:U$33,IF(B$1="ga_brp",T$10:T$33,S$10:S$33)),IF(OR(B$1="ga_es",B$1="ga_brp_es"),F23,IF(B$1="ga_brp",G23,E23)),R$10:R$33,D23)</f>
        <v>0</v>
      </c>
      <c r="J23" s="9">
        <f ca="1">SUMIFS(INDIRECT(ADDRESS(2,MATCH(D23,$1:$1,0),4,1)&amp;":"&amp;ADDRESS(19,MATCH(D23,$1:$1,0),4,1)),IF(OR(B$1="ga_es",B$1="ga_brp_es"),Tabel134232323[es_id],IF(B$1="ga_brp",Tabel134232323[brp_id],Tabel134232323[ga_id])),IF(OR(B$1="ga_es",B$1="ga_brp_es"),F23,IF(B$1="ga_brp",G23,E23)),IF(B$2="production",Tabel134232323[type],Tabel134232323[settlement_method]),AG$2,Tabel134232323[resolution],"PT15M")</f>
        <v>1</v>
      </c>
      <c r="K23" s="9">
        <f t="shared" si="6"/>
        <v>0</v>
      </c>
      <c r="L23" s="2"/>
      <c r="M23" s="2"/>
      <c r="N23" s="2"/>
      <c r="O23" s="2"/>
      <c r="P23" s="2"/>
      <c r="Q23" s="2"/>
      <c r="R23" s="15" t="s">
        <v>75</v>
      </c>
      <c r="S23" s="26" t="str">
        <f>_xlfn.IFNA(INDEX(Tabel134232323[ga_id],MATCH(U23,Tabel134232323[es_id],0)),"")</f>
        <v/>
      </c>
      <c r="T23" s="26" t="str">
        <f>_xlfn.IFNA(INDEX(Tabel134232323[brp_id],MATCH(U23,Tabel134232323[es_id],0)),"")</f>
        <v/>
      </c>
      <c r="U23" s="26" t="str">
        <f t="shared" ref="U23:V25" si="9">U$22</f>
        <v/>
      </c>
      <c r="V23" s="19">
        <f t="shared" si="9"/>
        <v>0</v>
      </c>
      <c r="W23" s="19">
        <f>X23+W22</f>
        <v>0</v>
      </c>
      <c r="X23" s="19">
        <f>V23-Y22</f>
        <v>0</v>
      </c>
      <c r="Y23" s="23">
        <f t="shared" si="1"/>
        <v>0</v>
      </c>
      <c r="Z23" s="27"/>
      <c r="AA23" s="27"/>
      <c r="AB23" s="2"/>
      <c r="AC23" s="2"/>
      <c r="AD23" s="36"/>
      <c r="AE23" s="35"/>
      <c r="AF23" s="35"/>
      <c r="AG23" s="36"/>
      <c r="AH23" s="36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</row>
    <row r="24" spans="1:92" x14ac:dyDescent="0.25">
      <c r="B24" s="16" t="str">
        <f>IF(AND(F24&lt;&gt;"null",F24&lt;&gt;""),IF(F24=INDEX(Tabel134232323[es_id],MATCH("GLMP",Tabel134232323[note],0),1),"glmp",""),IF(AND(G24&lt;&gt;"null",G24&lt;&gt;""),IF(G24=INDEX(Tabel134232323[brp_id],MATCH("GLMP",Tabel134232323[note],0),1),"glmp",""),IF(E24=INDEX(Tabel134232323[ga_id],MATCH("GLMP",Tabel134232323[note],0),1),"glmp","")))</f>
        <v/>
      </c>
      <c r="C24" s="16" t="str">
        <f>IF(AND(F24&lt;&gt;"null",F24&lt;&gt;""),IF(F24=INDEX(Tabel134232323[es_id],MATCH("SKMP",Tabel134232323[note],0),1),"skmp",""),IF(AND(G24&lt;&gt;"null",G24&lt;&gt;""),IF(G24=INDEX(Tabel134232323[brp_id],MATCH("SKMP",Tabel134232323[note],0),1),"skmp",""),IF(E24=INDEX(Tabel134232323[ga_id],MATCH("SKMP",Tabel134232323[note],0),1),"skmp","")))</f>
        <v>skmp</v>
      </c>
      <c r="D24" s="15" t="s">
        <v>76</v>
      </c>
      <c r="E24" s="31" t="str">
        <f t="shared" si="7"/>
        <v>800</v>
      </c>
      <c r="F24" s="31" t="str">
        <f>IF(B$1="ga",IF(E24="","","null"),IF(OR(B$1="ga_es",B$1="ga_brp_es"),IF(AE$2=0,"",AE$2),IF(B$1="ga_brp",IF(G24="","","null"))))</f>
        <v>2000000000000</v>
      </c>
      <c r="G24" s="31" t="str">
        <f>IF(B$1="ga",IF(E24="","","null"),IF(B$1="ga_es",IF(F24="","","null"),IF(B$1="ga_brp",IF(AF$2=0,"",AF$2),IF(F24="","",INDEX(Tabel134232323[brp_id],MATCH(F24,Tabel134232323[es_id],0),1)))))</f>
        <v>2200000000000</v>
      </c>
      <c r="H24" s="33" t="str">
        <f t="shared" ca="1" si="5"/>
        <v>1</v>
      </c>
      <c r="I24" s="9">
        <f t="shared" si="8"/>
        <v>0</v>
      </c>
      <c r="J24" s="9">
        <f ca="1">SUMIFS(INDIRECT(ADDRESS(2,MATCH(D24,$1:$1,0),4,1)&amp;":"&amp;ADDRESS(19,MATCH(D24,$1:$1,0),4,1)),IF(OR(B$1="ga_es",B$1="ga_brp_es"),Tabel134232323[es_id],IF(B$1="ga_brp",Tabel134232323[brp_id],Tabel134232323[ga_id])),IF(OR(B$1="ga_es",B$1="ga_brp_es"),F24,IF(B$1="ga_brp",G24,E24)),IF(B$2="production",Tabel134232323[type],Tabel134232323[settlement_method]),AG$2,Tabel134232323[resolution],"PT15M")</f>
        <v>1</v>
      </c>
      <c r="K24" s="9">
        <f t="shared" si="6"/>
        <v>0</v>
      </c>
      <c r="L24" s="2"/>
      <c r="M24" s="2"/>
      <c r="N24" s="2"/>
      <c r="O24" s="2"/>
      <c r="P24" s="2"/>
      <c r="Q24" s="2"/>
      <c r="R24" s="15" t="s">
        <v>76</v>
      </c>
      <c r="S24" s="26" t="str">
        <f>_xlfn.IFNA(INDEX(Tabel134232323[ga_id],MATCH(U24,Tabel134232323[es_id],0)),"")</f>
        <v/>
      </c>
      <c r="T24" s="26" t="str">
        <f>_xlfn.IFNA(INDEX(Tabel134232323[brp_id],MATCH(U24,Tabel134232323[es_id],0)),"")</f>
        <v/>
      </c>
      <c r="U24" s="26" t="str">
        <f t="shared" si="9"/>
        <v/>
      </c>
      <c r="V24" s="19">
        <f t="shared" si="9"/>
        <v>0</v>
      </c>
      <c r="W24" s="19">
        <f>X24+W23</f>
        <v>0</v>
      </c>
      <c r="X24" s="19">
        <f>V24-Y23</f>
        <v>0</v>
      </c>
      <c r="Y24" s="23">
        <f t="shared" si="1"/>
        <v>0</v>
      </c>
      <c r="Z24" s="27" t="str" cm="1">
        <f t="array" ref="Z24">_xlfn._xlws.SORT(_xlfn.UNIQUE(IFERROR(INDEX(_xlfn._xlws.FILTER(Tabel134232323[[type]:[brp_id]],(Tabel134232323[es_id]=AE6)*(Tabel134232323[settlement_method]="D01"),""),,6),"")))</f>
        <v/>
      </c>
      <c r="AA24" s="27"/>
      <c r="AB24" s="2"/>
      <c r="AC24" s="2"/>
      <c r="AD24" s="36"/>
      <c r="AE24" s="35"/>
      <c r="AF24" s="35"/>
      <c r="AG24" s="36"/>
      <c r="AH24" s="36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</row>
    <row r="25" spans="1:92" x14ac:dyDescent="0.25">
      <c r="B25" s="16" t="str">
        <f>IF(AND(F25&lt;&gt;"null",F25&lt;&gt;""),IF(F25=INDEX(Tabel134232323[es_id],MATCH("GLMP",Tabel134232323[note],0),1),"glmp",""),IF(AND(G25&lt;&gt;"null",G25&lt;&gt;""),IF(G25=INDEX(Tabel134232323[brp_id],MATCH("GLMP",Tabel134232323[note],0),1),"glmp",""),IF(E25=INDEX(Tabel134232323[ga_id],MATCH("GLMP",Tabel134232323[note],0),1),"glmp","")))</f>
        <v/>
      </c>
      <c r="C25" s="16" t="str">
        <f>IF(AND(F25&lt;&gt;"null",F25&lt;&gt;""),IF(F25=INDEX(Tabel134232323[es_id],MATCH("SKMP",Tabel134232323[note],0),1),"skmp",""),IF(AND(G25&lt;&gt;"null",G25&lt;&gt;""),IF(G25=INDEX(Tabel134232323[brp_id],MATCH("SKMP",Tabel134232323[note],0),1),"skmp",""),IF(E25=INDEX(Tabel134232323[ga_id],MATCH("SKMP",Tabel134232323[note],0),1),"skmp","")))</f>
        <v>skmp</v>
      </c>
      <c r="D25" s="15" t="s">
        <v>77</v>
      </c>
      <c r="E25" s="31" t="str">
        <f t="shared" si="7"/>
        <v>800</v>
      </c>
      <c r="F25" s="31" t="str">
        <f>IF(B$1="ga",IF(E25="","","null"),IF(OR(B$1="ga_es",B$1="ga_brp_es"),IF(AE$2=0,"",AE$2),IF(B$1="ga_brp",IF(G25="","","null"))))</f>
        <v>2000000000000</v>
      </c>
      <c r="G25" s="31" t="str">
        <f>IF(B$1="ga",IF(E25="","","null"),IF(B$1="ga_es",IF(F25="","","null"),IF(B$1="ga_brp",IF(AF$2=0,"",AF$2),IF(F25="","",INDEX(Tabel134232323[brp_id],MATCH(F25,Tabel134232323[es_id],0),1)))))</f>
        <v>2200000000000</v>
      </c>
      <c r="H25" s="33" t="str">
        <f t="shared" ca="1" si="5"/>
        <v>12.775</v>
      </c>
      <c r="I25" s="9">
        <f t="shared" si="8"/>
        <v>0</v>
      </c>
      <c r="J25" s="9">
        <f ca="1">SUMIFS(INDIRECT(ADDRESS(2,MATCH(D25,$1:$1,0),4,1)&amp;":"&amp;ADDRESS(19,MATCH(D25,$1:$1,0),4,1)),IF(OR(B$1="ga_es",B$1="ga_brp_es"),Tabel134232323[es_id],IF(B$1="ga_brp",Tabel134232323[brp_id],Tabel134232323[ga_id])),IF(OR(B$1="ga_es",B$1="ga_brp_es"),F25,IF(B$1="ga_brp",G25,E25)),IF(B$2="production",Tabel134232323[type],Tabel134232323[settlement_method]),AG$2,Tabel134232323[resolution],"PT15M")</f>
        <v>1</v>
      </c>
      <c r="K25" s="9">
        <f t="shared" si="6"/>
        <v>11.775</v>
      </c>
      <c r="L25" s="2"/>
      <c r="M25" s="2"/>
      <c r="N25" s="2"/>
      <c r="O25" s="2"/>
      <c r="P25" s="2"/>
      <c r="Q25" s="2"/>
      <c r="R25" s="15" t="s">
        <v>77</v>
      </c>
      <c r="S25" s="26" t="str">
        <f>_xlfn.IFNA(INDEX(Tabel134232323[ga_id],MATCH(U25,Tabel134232323[es_id],0)),"")</f>
        <v/>
      </c>
      <c r="T25" s="26" t="str">
        <f>_xlfn.IFNA(INDEX(Tabel134232323[brp_id],MATCH(U25,Tabel134232323[es_id],0)),"")</f>
        <v/>
      </c>
      <c r="U25" s="26" t="str">
        <f t="shared" si="9"/>
        <v/>
      </c>
      <c r="V25" s="19">
        <f t="shared" si="9"/>
        <v>0</v>
      </c>
      <c r="W25" s="19">
        <f>X25+W24</f>
        <v>0</v>
      </c>
      <c r="X25" s="19">
        <f>V25-Y24</f>
        <v>0</v>
      </c>
      <c r="Y25" s="23">
        <f t="shared" si="1"/>
        <v>0</v>
      </c>
      <c r="Z25" s="27" t="str" cm="1">
        <f t="array" ref="Z25">_xlfn._xlws.SORT(_xlfn.UNIQUE(IFERROR(INDEX(_xlfn._xlws.FILTER(Tabel134232323[[type]:[brp_id]],(Tabel134232323[es_id]=AE7)*(Tabel134232323[settlement_method]="D01"),""),,6),"")))</f>
        <v/>
      </c>
      <c r="AA25" s="27"/>
      <c r="AB25" s="2"/>
      <c r="AC25" s="2"/>
      <c r="AD25" s="36"/>
      <c r="AE25" s="35"/>
      <c r="AF25" s="35"/>
      <c r="AG25" s="36"/>
      <c r="AH25" s="36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</row>
    <row r="26" spans="1:92" x14ac:dyDescent="0.25">
      <c r="B26" s="16" t="str">
        <f>IF(AND(F26&lt;&gt;"null",F26&lt;&gt;""),IF(F26=INDEX(Tabel134232323[es_id],MATCH("GLMP",Tabel134232323[note],0),1),"glmp",""),IF(AND(G26&lt;&gt;"null",G26&lt;&gt;""),IF(G26=INDEX(Tabel134232323[brp_id],MATCH("GLMP",Tabel134232323[note],0),1),"glmp",""),IF(E26=INDEX(Tabel134232323[ga_id],MATCH("GLMP",Tabel134232323[note],0),1),"glmp","")))</f>
        <v/>
      </c>
      <c r="C26" s="16" t="str">
        <f>IF(AND(F26&lt;&gt;"null",F26&lt;&gt;""),IF(F26=INDEX(Tabel134232323[es_id],MATCH("SKMP",Tabel134232323[note],0),1),"skmp",""),IF(AND(G26&lt;&gt;"null",G26&lt;&gt;""),IF(G26=INDEX(Tabel134232323[brp_id],MATCH("SKMP",Tabel134232323[note],0),1),"skmp",""),IF(E26=INDEX(Tabel134232323[ga_id],MATCH("SKMP",Tabel134232323[note],0),1),"skmp","")))</f>
        <v/>
      </c>
      <c r="D26" s="15" t="s">
        <v>74</v>
      </c>
      <c r="E26" s="31" t="str">
        <f t="shared" si="7"/>
        <v/>
      </c>
      <c r="F26" s="31" t="str">
        <f>IF(B$1="ga",IF(E26="","","null"),IF(OR(B$1="ga_es",B$1="ga_brp_es"),IF(AE$3=0,"",AE$3),IF(B$1="ga_brp",IF(G26="","","null"))))</f>
        <v/>
      </c>
      <c r="G26" s="31" t="str">
        <f>IF(B$1="ga",IF(E26="","","null"),IF(B$1="ga_es",IF(F26="","","null"),IF(B$1="ga_brp",IF(AF$3=0,"",AF$3),IF(F26="","",INDEX(Tabel134232323[brp_id],MATCH(F26,Tabel134232323[es_id],0),1)))))</f>
        <v/>
      </c>
      <c r="H26" s="33" t="str">
        <f t="shared" si="5"/>
        <v/>
      </c>
      <c r="I26" s="9">
        <f t="shared" si="8"/>
        <v>0</v>
      </c>
      <c r="J26" s="9">
        <f ca="1">SUMIFS(INDIRECT(ADDRESS(2,MATCH(D26,$1:$1,0),4,1)&amp;":"&amp;ADDRESS(19,MATCH(D26,$1:$1,0),4,1)),IF(OR(B$1="ga_es",B$1="ga_brp_es"),Tabel134232323[es_id],IF(B$1="ga_brp",Tabel134232323[brp_id],Tabel134232323[ga_id])),IF(OR(B$1="ga_es",B$1="ga_brp_es"),F26,IF(B$1="ga_brp",G26,E26)),IF(B$2="production",Tabel134232323[type],Tabel134232323[settlement_method]),AG$2,Tabel134232323[resolution],"PT15M")</f>
        <v>0</v>
      </c>
      <c r="K26" s="9">
        <f t="shared" si="6"/>
        <v>0</v>
      </c>
      <c r="L26" s="2"/>
      <c r="M26" s="2"/>
      <c r="N26" s="2"/>
      <c r="O26" s="2"/>
      <c r="P26" s="2"/>
      <c r="Q26" s="2"/>
      <c r="R26" s="15" t="s">
        <v>74</v>
      </c>
      <c r="S26" s="26" t="str">
        <f>_xlfn.IFNA(INDEX(Tabel134232323[ga_id],MATCH(U26,Tabel134232323[es_id],0)),"")</f>
        <v/>
      </c>
      <c r="T26" s="26" t="str">
        <f>_xlfn.IFNA(INDEX(Tabel134232323[brp_id],MATCH(U26,Tabel134232323[es_id],0)),"")</f>
        <v/>
      </c>
      <c r="U26" s="26" t="str">
        <f>IF(AE$6=0,"",AE$6)</f>
        <v/>
      </c>
      <c r="V26" s="20">
        <f>SUMIFS(Tabel134232323[TotalHour],Tabel134232323[es_id],U26,IF(B$2="production",Tabel134232323[type],Tabel134232323[settlement_method]),AG$2,Tabel134232323[resolution],"PT1H")/4</f>
        <v>0</v>
      </c>
      <c r="W26" s="19">
        <f>V26</f>
        <v>0</v>
      </c>
      <c r="X26" s="19"/>
      <c r="Y26" s="23">
        <f t="shared" si="1"/>
        <v>0</v>
      </c>
      <c r="Z26" s="24"/>
      <c r="AA26" s="27"/>
      <c r="AB26" s="2"/>
      <c r="AC26" s="2"/>
      <c r="AD26" s="36"/>
      <c r="AE26" s="35"/>
      <c r="AF26" s="35"/>
      <c r="AG26" s="36"/>
      <c r="AH26" s="3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</row>
    <row r="27" spans="1:92" x14ac:dyDescent="0.25">
      <c r="B27" s="16" t="str">
        <f>IF(AND(F27&lt;&gt;"null",F27&lt;&gt;""),IF(F27=INDEX(Tabel134232323[es_id],MATCH("GLMP",Tabel134232323[note],0),1),"glmp",""),IF(AND(G27&lt;&gt;"null",G27&lt;&gt;""),IF(G27=INDEX(Tabel134232323[brp_id],MATCH("GLMP",Tabel134232323[note],0),1),"glmp",""),IF(E27=INDEX(Tabel134232323[ga_id],MATCH("GLMP",Tabel134232323[note],0),1),"glmp","")))</f>
        <v/>
      </c>
      <c r="C27" s="16" t="str">
        <f>IF(AND(F27&lt;&gt;"null",F27&lt;&gt;""),IF(F27=INDEX(Tabel134232323[es_id],MATCH("SKMP",Tabel134232323[note],0),1),"skmp",""),IF(AND(G27&lt;&gt;"null",G27&lt;&gt;""),IF(G27=INDEX(Tabel134232323[brp_id],MATCH("SKMP",Tabel134232323[note],0),1),"skmp",""),IF(E27=INDEX(Tabel134232323[ga_id],MATCH("SKMP",Tabel134232323[note],0),1),"skmp","")))</f>
        <v/>
      </c>
      <c r="D27" s="15" t="s">
        <v>75</v>
      </c>
      <c r="E27" s="31" t="str">
        <f t="shared" si="7"/>
        <v/>
      </c>
      <c r="F27" s="31" t="str">
        <f>IF(B$1="ga",IF(E27="","","null"),IF(OR(B$1="ga_es",B$1="ga_brp_es"),IF(AE$3=0,"",AE$3),IF(B$1="ga_brp",IF(G27="","","null"))))</f>
        <v/>
      </c>
      <c r="G27" s="31" t="str">
        <f>IF(B$1="ga",IF(E27="","","null"),IF(B$1="ga_es",IF(F27="","","null"),IF(B$1="ga_brp",IF(AF$3=0,"",AF$3),IF(F27="","",INDEX(Tabel134232323[brp_id],MATCH(F27,Tabel134232323[es_id],0),1)))))</f>
        <v/>
      </c>
      <c r="H27" s="33" t="str">
        <f t="shared" si="5"/>
        <v/>
      </c>
      <c r="I27" s="9">
        <f t="shared" si="8"/>
        <v>0</v>
      </c>
      <c r="J27" s="9">
        <f ca="1">SUMIFS(INDIRECT(ADDRESS(2,MATCH(D27,$1:$1,0),4,1)&amp;":"&amp;ADDRESS(19,MATCH(D27,$1:$1,0),4,1)),IF(OR(B$1="ga_es",B$1="ga_brp_es"),Tabel134232323[es_id],IF(B$1="ga_brp",Tabel134232323[brp_id],Tabel134232323[ga_id])),IF(OR(B$1="ga_es",B$1="ga_brp_es"),F27,IF(B$1="ga_brp",G27,E27)),IF(B$2="production",Tabel134232323[type],Tabel134232323[settlement_method]),AG$2,Tabel134232323[resolution],"PT15M")</f>
        <v>0</v>
      </c>
      <c r="K27" s="9">
        <f t="shared" si="6"/>
        <v>0</v>
      </c>
      <c r="L27" s="2"/>
      <c r="M27" s="2"/>
      <c r="N27" s="2"/>
      <c r="O27" s="2"/>
      <c r="P27" s="2"/>
      <c r="Q27" s="2"/>
      <c r="R27" s="15" t="s">
        <v>75</v>
      </c>
      <c r="S27" s="26" t="str">
        <f>_xlfn.IFNA(INDEX(Tabel134232323[ga_id],MATCH(U27,Tabel134232323[es_id],0)),"")</f>
        <v/>
      </c>
      <c r="T27" s="26" t="str">
        <f>_xlfn.IFNA(INDEX(Tabel134232323[brp_id],MATCH(U27,Tabel134232323[es_id],0)),"")</f>
        <v/>
      </c>
      <c r="U27" s="26" t="str">
        <f t="shared" ref="U27:V29" si="10">U$26</f>
        <v/>
      </c>
      <c r="V27" s="19">
        <f t="shared" si="10"/>
        <v>0</v>
      </c>
      <c r="W27" s="19">
        <f>X27+W26</f>
        <v>0</v>
      </c>
      <c r="X27" s="19">
        <f>V27-Y26</f>
        <v>0</v>
      </c>
      <c r="Y27" s="23">
        <f t="shared" si="1"/>
        <v>0</v>
      </c>
      <c r="Z27" s="24"/>
      <c r="AA27" s="27"/>
      <c r="AB27" s="2"/>
      <c r="AC27" s="2"/>
      <c r="AD27" s="36"/>
      <c r="AE27" s="36" t="str">
        <f>_xlfn.CONCAT("Energy suppliers for "&amp;B2)</f>
        <v>Energy suppliers for production</v>
      </c>
      <c r="AF27" s="36" t="str">
        <f>_xlfn.CONCAT("Balance responsibles for "&amp;B2)</f>
        <v>Balance responsibles for production</v>
      </c>
      <c r="AG27" s="36"/>
      <c r="AH27" s="36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</row>
    <row r="28" spans="1:92" x14ac:dyDescent="0.25">
      <c r="B28" s="16" t="str">
        <f>IF(AND(F28&lt;&gt;"null",F28&lt;&gt;""),IF(F28=INDEX(Tabel134232323[es_id],MATCH("GLMP",Tabel134232323[note],0),1),"glmp",""),IF(AND(G28&lt;&gt;"null",G28&lt;&gt;""),IF(G28=INDEX(Tabel134232323[brp_id],MATCH("GLMP",Tabel134232323[note],0),1),"glmp",""),IF(E28=INDEX(Tabel134232323[ga_id],MATCH("GLMP",Tabel134232323[note],0),1),"glmp","")))</f>
        <v/>
      </c>
      <c r="C28" s="16" t="str">
        <f>IF(AND(F28&lt;&gt;"null",F28&lt;&gt;""),IF(F28=INDEX(Tabel134232323[es_id],MATCH("SKMP",Tabel134232323[note],0),1),"skmp",""),IF(AND(G28&lt;&gt;"null",G28&lt;&gt;""),IF(G28=INDEX(Tabel134232323[brp_id],MATCH("SKMP",Tabel134232323[note],0),1),"skmp",""),IF(E28=INDEX(Tabel134232323[ga_id],MATCH("SKMP",Tabel134232323[note],0),1),"skmp","")))</f>
        <v/>
      </c>
      <c r="D28" s="15" t="s">
        <v>76</v>
      </c>
      <c r="E28" s="31" t="str">
        <f t="shared" si="7"/>
        <v/>
      </c>
      <c r="F28" s="31" t="str">
        <f>IF(B$1="ga",IF(E28="","","null"),IF(OR(B$1="ga_es",B$1="ga_brp_es"),IF(AE$3=0,"",AE$3),IF(B$1="ga_brp",IF(G28="","","null"))))</f>
        <v/>
      </c>
      <c r="G28" s="31" t="str">
        <f>IF(B$1="ga",IF(E28="","","null"),IF(B$1="ga_es",IF(F28="","","null"),IF(B$1="ga_brp",IF(AF$3=0,"",AF$3),IF(F28="","",INDEX(Tabel134232323[brp_id],MATCH(F28,Tabel134232323[es_id],0),1)))))</f>
        <v/>
      </c>
      <c r="H28" s="33" t="str">
        <f t="shared" si="5"/>
        <v/>
      </c>
      <c r="I28" s="9">
        <f t="shared" si="8"/>
        <v>0</v>
      </c>
      <c r="J28" s="9">
        <f ca="1">SUMIFS(INDIRECT(ADDRESS(2,MATCH(D28,$1:$1,0),4,1)&amp;":"&amp;ADDRESS(19,MATCH(D28,$1:$1,0),4,1)),IF(OR(B$1="ga_es",B$1="ga_brp_es"),Tabel134232323[es_id],IF(B$1="ga_brp",Tabel134232323[brp_id],Tabel134232323[ga_id])),IF(OR(B$1="ga_es",B$1="ga_brp_es"),F28,IF(B$1="ga_brp",G28,E28)),IF(B$2="production",Tabel134232323[type],Tabel134232323[settlement_method]),AG$2,Tabel134232323[resolution],"PT15M")</f>
        <v>0</v>
      </c>
      <c r="K28" s="9">
        <f t="shared" si="6"/>
        <v>0</v>
      </c>
      <c r="L28" s="2"/>
      <c r="M28" s="2"/>
      <c r="N28" s="2"/>
      <c r="O28" s="2"/>
      <c r="P28" s="2"/>
      <c r="Q28" s="2"/>
      <c r="R28" s="15" t="s">
        <v>76</v>
      </c>
      <c r="S28" s="26" t="str">
        <f>_xlfn.IFNA(INDEX(Tabel134232323[ga_id],MATCH(U28,Tabel134232323[es_id],0)),"")</f>
        <v/>
      </c>
      <c r="T28" s="26" t="str">
        <f>_xlfn.IFNA(INDEX(Tabel134232323[brp_id],MATCH(U28,Tabel134232323[es_id],0)),"")</f>
        <v/>
      </c>
      <c r="U28" s="26" t="str">
        <f t="shared" si="10"/>
        <v/>
      </c>
      <c r="V28" s="19">
        <f t="shared" si="10"/>
        <v>0</v>
      </c>
      <c r="W28" s="19">
        <f>X28+W27</f>
        <v>0</v>
      </c>
      <c r="X28" s="19">
        <f>V28-Y27</f>
        <v>0</v>
      </c>
      <c r="Y28" s="23">
        <f t="shared" si="1"/>
        <v>0</v>
      </c>
      <c r="Z28" s="24"/>
      <c r="AA28" s="27"/>
      <c r="AB28" s="2"/>
      <c r="AC28" s="2"/>
      <c r="AD28" s="36"/>
      <c r="AE28" s="36" t="str" cm="1">
        <f t="array" ref="AE28">IFERROR(IF($B$2="production",INDEX(_xlfn._xlws.FILTER(Tabel134232323[[type]:[brp_id]],(Tabel134232323[es_id]=AE13)*(Tabel134232323[type]="E18"),""),,9),INDEX(_xlfn._xlws.FILTER(Tabel134232323[[type]:[brp_id]],(Tabel134232323[es_id]=AE13)*(Tabel134232323[settlement_method]=AG$2),""),,9)),"")</f>
        <v/>
      </c>
      <c r="AF28" s="36" t="str" cm="1">
        <f t="array" ref="AF28">IFERROR(IF($B$2="production",_xlfn.UNIQUE(INDEX(_xlfn._xlws.FILTER(Tabel134232323[[type]:[brp_id]],(Tabel134232323[brp_id]=AF13)*(Tabel134232323[type]=$AG$2),""),,10)),_xlfn.UNIQUE(INDEX(_xlfn._xlws.FILTER(Tabel134232323[[type]:[brp_id]],(Tabel134232323[brp_id]=AF13)*(Tabel134232323[settlement_method]=AG$2),""),,10))),"")</f>
        <v/>
      </c>
      <c r="AG28" s="36"/>
      <c r="AH28" s="36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spans="1:92" x14ac:dyDescent="0.25">
      <c r="B29" s="16" t="str">
        <f>IF(AND(F29&lt;&gt;"null",F29&lt;&gt;""),IF(F29=INDEX(Tabel134232323[es_id],MATCH("GLMP",Tabel134232323[note],0),1),"glmp",""),IF(AND(G29&lt;&gt;"null",G29&lt;&gt;""),IF(G29=INDEX(Tabel134232323[brp_id],MATCH("GLMP",Tabel134232323[note],0),1),"glmp",""),IF(E29=INDEX(Tabel134232323[ga_id],MATCH("GLMP",Tabel134232323[note],0),1),"glmp","")))</f>
        <v/>
      </c>
      <c r="C29" s="16" t="str">
        <f>IF(AND(F29&lt;&gt;"null",F29&lt;&gt;""),IF(F29=INDEX(Tabel134232323[es_id],MATCH("SKMP",Tabel134232323[note],0),1),"skmp",""),IF(AND(G29&lt;&gt;"null",G29&lt;&gt;""),IF(G29=INDEX(Tabel134232323[brp_id],MATCH("SKMP",Tabel134232323[note],0),1),"skmp",""),IF(E29=INDEX(Tabel134232323[ga_id],MATCH("SKMP",Tabel134232323[note],0),1),"skmp","")))</f>
        <v/>
      </c>
      <c r="D29" s="15" t="s">
        <v>77</v>
      </c>
      <c r="E29" s="31" t="str">
        <f t="shared" si="7"/>
        <v/>
      </c>
      <c r="F29" s="31" t="str">
        <f>IF(B$1="ga",IF(E29="","","null"),IF(OR(B$1="ga_es",B$1="ga_brp_es"),IF(AE$3=0,"",AE$3),IF(B$1="ga_brp",IF(G29="","","null"))))</f>
        <v/>
      </c>
      <c r="G29" s="31" t="str">
        <f>IF(B$1="ga",IF(E29="","","null"),IF(B$1="ga_es",IF(F29="","","null"),IF(B$1="ga_brp",IF(AF$3=0,"",AF$3),IF(F29="","",INDEX(Tabel134232323[brp_id],MATCH(F29,Tabel134232323[es_id],0),1)))))</f>
        <v/>
      </c>
      <c r="H29" s="33" t="str">
        <f t="shared" si="5"/>
        <v/>
      </c>
      <c r="I29" s="9">
        <f t="shared" si="8"/>
        <v>0</v>
      </c>
      <c r="J29" s="9">
        <f ca="1">SUMIFS(INDIRECT(ADDRESS(2,MATCH(D29,$1:$1,0),4,1)&amp;":"&amp;ADDRESS(19,MATCH(D29,$1:$1,0),4,1)),IF(OR(B$1="ga_es",B$1="ga_brp_es"),Tabel134232323[es_id],IF(B$1="ga_brp",Tabel134232323[brp_id],Tabel134232323[ga_id])),IF(OR(B$1="ga_es",B$1="ga_brp_es"),F29,IF(B$1="ga_brp",G29,E29)),IF(B$2="production",Tabel134232323[type],Tabel134232323[settlement_method]),AG$2,Tabel134232323[resolution],"PT15M")</f>
        <v>0</v>
      </c>
      <c r="K29" s="9">
        <f t="shared" si="6"/>
        <v>0</v>
      </c>
      <c r="L29" s="2"/>
      <c r="R29" s="15" t="s">
        <v>77</v>
      </c>
      <c r="S29" s="26" t="str">
        <f>_xlfn.IFNA(INDEX(Tabel134232323[ga_id],MATCH(U29,Tabel134232323[es_id],0)),"")</f>
        <v/>
      </c>
      <c r="T29" s="26" t="str">
        <f>_xlfn.IFNA(INDEX(Tabel134232323[brp_id],MATCH(U29,Tabel134232323[es_id],0)),"")</f>
        <v/>
      </c>
      <c r="U29" s="26" t="str">
        <f t="shared" si="10"/>
        <v/>
      </c>
      <c r="V29" s="19">
        <f t="shared" si="10"/>
        <v>0</v>
      </c>
      <c r="W29" s="19">
        <f>X29+W28</f>
        <v>0</v>
      </c>
      <c r="X29" s="19">
        <f>V29-Y28</f>
        <v>0</v>
      </c>
      <c r="Y29" s="23">
        <f t="shared" si="1"/>
        <v>0</v>
      </c>
      <c r="Z29" s="24"/>
      <c r="AA29" s="27"/>
      <c r="AB29" s="2"/>
      <c r="AC29" s="2"/>
      <c r="AD29" s="36"/>
      <c r="AF29" s="36" t="str" cm="1">
        <f t="array" ref="AF29">IFERROR(IF($B$2="production",_xlfn.UNIQUE(INDEX(_xlfn._xlws.FILTER(Tabel134232323[[type]:[brp_id]],(Tabel134232323[brp_id]=AF14)*(Tabel134232323[type]=$AG$2),""),,10)),_xlfn.UNIQUE(INDEX(_xlfn._xlws.FILTER(Tabel134232323[[type]:[brp_id]],(Tabel134232323[brp_id]=AF14)*(Tabel134232323[settlement_method]=AG$2),""),,10))),"")</f>
        <v>2200000000000</v>
      </c>
      <c r="AG29" s="36"/>
      <c r="AH29" s="36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spans="1:92" x14ac:dyDescent="0.25">
      <c r="B30" s="16" t="str">
        <f>IF(AND(F30&lt;&gt;"null",F30&lt;&gt;""),IF(F30=INDEX(Tabel134232323[es_id],MATCH("GLMP",Tabel134232323[note],0),1),"glmp",""),IF(AND(G30&lt;&gt;"null",G30&lt;&gt;""),IF(G30=INDEX(Tabel134232323[brp_id],MATCH("GLMP",Tabel134232323[note],0),1),"glmp",""),IF(E30=INDEX(Tabel134232323[ga_id],MATCH("GLMP",Tabel134232323[note],0),1),"glmp","")))</f>
        <v/>
      </c>
      <c r="C30" s="16" t="str">
        <f>IF(AND(F30&lt;&gt;"null",F30&lt;&gt;""),IF(F30=INDEX(Tabel134232323[es_id],MATCH("SKMP",Tabel134232323[note],0),1),"skmp",""),IF(AND(G30&lt;&gt;"null",G30&lt;&gt;""),IF(G30=INDEX(Tabel134232323[brp_id],MATCH("SKMP",Tabel134232323[note],0),1),"skmp",""),IF(E30=INDEX(Tabel134232323[ga_id],MATCH("SKMP",Tabel134232323[note],0),1),"skmp","")))</f>
        <v/>
      </c>
      <c r="D30" s="15" t="s">
        <v>74</v>
      </c>
      <c r="E30" s="31" t="str">
        <f t="shared" si="7"/>
        <v/>
      </c>
      <c r="F30" s="31" t="str">
        <f>IF(B$1="ga",IF(E30="","","null"),IF(OR(B$1="ga_es",B$1="ga_brp_es"),IF(AE$4=0,"",AE$4),IF(B$1="ga_brp",IF(G30="","","null"))))</f>
        <v/>
      </c>
      <c r="G30" s="31" t="str">
        <f>IF(B$1="ga",IF(E30="","","null"),IF(B$1="ga_es",IF(F30="","","null"),IF(B$1="ga_brp",IF(AF$4=0,"",AF$4),IF(F30="","",INDEX(Tabel134232323[brp_id],MATCH(F30,Tabel134232323[es_id],0),1)))))</f>
        <v/>
      </c>
      <c r="H30" s="33" t="str">
        <f t="shared" si="5"/>
        <v/>
      </c>
      <c r="I30" s="9">
        <f t="shared" si="8"/>
        <v>0</v>
      </c>
      <c r="J30" s="9">
        <f ca="1">SUMIFS(INDIRECT(ADDRESS(2,MATCH(D30,$1:$1,0),4,1)&amp;":"&amp;ADDRESS(19,MATCH(D30,$1:$1,0),4,1)),IF(OR(B$1="ga_es",B$1="ga_brp_es"),Tabel134232323[es_id],IF(B$1="ga_brp",Tabel134232323[brp_id],Tabel134232323[ga_id])),IF(OR(B$1="ga_es",B$1="ga_brp_es"),F30,IF(B$1="ga_brp",G30,E30)),IF(B$2="production",Tabel134232323[type],Tabel134232323[settlement_method]),AG$2,Tabel134232323[resolution],"PT15M")</f>
        <v>0</v>
      </c>
      <c r="K30" s="9">
        <f t="shared" si="6"/>
        <v>0</v>
      </c>
      <c r="L30" s="2"/>
      <c r="R30" s="15" t="s">
        <v>74</v>
      </c>
      <c r="S30" s="26" t="str">
        <f>_xlfn.IFNA(INDEX(Tabel134232323[ga_id],MATCH(U30,Tabel134232323[es_id],0)),"")</f>
        <v/>
      </c>
      <c r="T30" s="26" t="str">
        <f>_xlfn.IFNA(INDEX(Tabel134232323[brp_id],MATCH(U30,Tabel134232323[es_id],0)),"")</f>
        <v/>
      </c>
      <c r="U30" s="26" t="str">
        <f>IF(AE$7=0,"",AE$7)</f>
        <v/>
      </c>
      <c r="V30" s="20">
        <f>SUMIFS(Tabel134232323[TotalHour],Tabel134232323[es_id],U30,IF(B$2="production",Tabel134232323[type],Tabel134232323[settlement_method]),AG$2,Tabel134232323[resolution],"PT1H")/4</f>
        <v>0</v>
      </c>
      <c r="W30" s="19">
        <f>V30</f>
        <v>0</v>
      </c>
      <c r="X30" s="19"/>
      <c r="Y30" s="23">
        <f t="shared" si="1"/>
        <v>0</v>
      </c>
      <c r="Z30" s="24"/>
      <c r="AA30" s="27"/>
      <c r="AB30" s="2"/>
      <c r="AC30" s="2"/>
      <c r="AD30" s="36"/>
      <c r="AE30" s="36" t="str" cm="1">
        <f t="array" ref="AE30">IFERROR(IF($B$2="production",_xlfn.UNIQUE(INDEX(_xlfn._xlws.FILTER(Tabel134232323[[type]:[brp_id]],(Tabel134232323[es_id]=AE14)*(Tabel134232323[type]="E18"),""),,9)),_xlfn.UNIQUE(INDEX(_xlfn._xlws.FILTER(Tabel134232323[[type]:[brp_id]],(Tabel134232323[es_id]=AE14)*(Tabel134232323[settlement_method]=AG$2),""),,9))),"")</f>
        <v>2000000000000</v>
      </c>
      <c r="AF30" s="36" t="str" cm="1">
        <f t="array" ref="AF30">IFERROR(IF($B$2="production",_xlfn.UNIQUE(INDEX(_xlfn._xlws.FILTER(Tabel134232323[[type]:[brp_id]],(Tabel134232323[brp_id]=AF15)*(Tabel134232323[type]=$AG$2),""),,10)),_xlfn.UNIQUE(INDEX(_xlfn._xlws.FILTER(Tabel134232323[[type]:[brp_id]],(Tabel134232323[brp_id]=AF15)*(Tabel134232323[settlement_method]=AG$2),""),,10))),"")</f>
        <v/>
      </c>
      <c r="AG30" s="36"/>
      <c r="AH30" s="3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</row>
    <row r="31" spans="1:92" x14ac:dyDescent="0.25">
      <c r="B31" s="16" t="str">
        <f>IF(AND(F31&lt;&gt;"null",F31&lt;&gt;""),IF(F31=INDEX(Tabel134232323[es_id],MATCH("GLMP",Tabel134232323[note],0),1),"glmp",""),IF(AND(G31&lt;&gt;"null",G31&lt;&gt;""),IF(G31=INDEX(Tabel134232323[brp_id],MATCH("GLMP",Tabel134232323[note],0),1),"glmp",""),IF(E31=INDEX(Tabel134232323[ga_id],MATCH("GLMP",Tabel134232323[note],0),1),"glmp","")))</f>
        <v/>
      </c>
      <c r="C31" s="16" t="str">
        <f>IF(AND(F31&lt;&gt;"null",F31&lt;&gt;""),IF(F31=INDEX(Tabel134232323[es_id],MATCH("SKMP",Tabel134232323[note],0),1),"skmp",""),IF(AND(G31&lt;&gt;"null",G31&lt;&gt;""),IF(G31=INDEX(Tabel134232323[brp_id],MATCH("SKMP",Tabel134232323[note],0),1),"skmp",""),IF(E31=INDEX(Tabel134232323[ga_id],MATCH("SKMP",Tabel134232323[note],0),1),"skmp","")))</f>
        <v/>
      </c>
      <c r="D31" s="15" t="s">
        <v>75</v>
      </c>
      <c r="E31" s="31" t="str">
        <f t="shared" si="7"/>
        <v/>
      </c>
      <c r="F31" s="31" t="str">
        <f>IF(B$1="ga",IF(E31="","","null"),IF(OR(B$1="ga_es",B$1="ga_brp_es"),IF(AE$4=0,"",AE$4),IF(B$1="ga_brp",IF(G31="","","null"))))</f>
        <v/>
      </c>
      <c r="G31" s="31" t="str">
        <f>IF(B$1="ga",IF(E31="","","null"),IF(B$1="ga_es",IF(F31="","","null"),IF(B$1="ga_brp",IF(AF$4=0,"",AF$4),IF(F31="","",INDEX(Tabel134232323[brp_id],MATCH(F31,Tabel134232323[es_id],0),1)))))</f>
        <v/>
      </c>
      <c r="H31" s="33" t="str">
        <f t="shared" si="5"/>
        <v/>
      </c>
      <c r="I31" s="9">
        <f t="shared" si="8"/>
        <v>0</v>
      </c>
      <c r="J31" s="9">
        <f ca="1">SUMIFS(INDIRECT(ADDRESS(2,MATCH(D31,$1:$1,0),4,1)&amp;":"&amp;ADDRESS(19,MATCH(D31,$1:$1,0),4,1)),IF(OR(B$1="ga_es",B$1="ga_brp_es"),Tabel134232323[es_id],IF(B$1="ga_brp",Tabel134232323[brp_id],Tabel134232323[ga_id])),IF(OR(B$1="ga_es",B$1="ga_brp_es"),F31,IF(B$1="ga_brp",G31,E31)),IF(B$2="production",Tabel134232323[type],Tabel134232323[settlement_method]),AG$2,Tabel134232323[resolution],"PT15M")</f>
        <v>0</v>
      </c>
      <c r="K31" s="9">
        <f t="shared" si="6"/>
        <v>0</v>
      </c>
      <c r="L31" s="2"/>
      <c r="R31" s="15" t="s">
        <v>75</v>
      </c>
      <c r="S31" s="26" t="str">
        <f>_xlfn.IFNA(INDEX(Tabel134232323[ga_id],MATCH(U31,Tabel134232323[es_id],0)),"")</f>
        <v/>
      </c>
      <c r="T31" s="26" t="str">
        <f>_xlfn.IFNA(INDEX(Tabel134232323[brp_id],MATCH(U31,Tabel134232323[es_id],0)),"")</f>
        <v/>
      </c>
      <c r="U31" s="26" t="str">
        <f t="shared" ref="U31:V33" si="11">U$30</f>
        <v/>
      </c>
      <c r="V31" s="19">
        <f t="shared" si="11"/>
        <v>0</v>
      </c>
      <c r="W31" s="19">
        <f>X31+W30</f>
        <v>0</v>
      </c>
      <c r="X31" s="19">
        <f>V31-Y30</f>
        <v>0</v>
      </c>
      <c r="Y31" s="23">
        <f t="shared" si="1"/>
        <v>0</v>
      </c>
      <c r="Z31" s="24"/>
      <c r="AA31" s="27"/>
      <c r="AB31" s="2"/>
      <c r="AC31" s="2"/>
      <c r="AD31" s="36"/>
      <c r="AE31" s="36" t="str" cm="1">
        <f t="array" ref="AE31">IFERROR(IF($B$2="production",_xlfn.UNIQUE(INDEX(_xlfn._xlws.FILTER(Tabel134232323[[type]:[brp_id]],(Tabel134232323[es_id]=AE15)*(Tabel134232323[type]="E18"),""),,9)),_xlfn.UNIQUE(INDEX(_xlfn._xlws.FILTER(Tabel134232323[[type]:[brp_id]],(Tabel134232323[es_id]=AE15)*(Tabel134232323[settlement_method]=AG$2),""),,9))),"")</f>
        <v/>
      </c>
      <c r="AF31" s="36" t="str" cm="1">
        <f t="array" ref="AF31">IFERROR(IF($B$2="production",_xlfn.UNIQUE(INDEX(_xlfn._xlws.FILTER(Tabel134232323[[type]:[brp_id]],(Tabel134232323[brp_id]=AF16)*(Tabel134232323[type]=$AG$2),""),,10)),_xlfn.UNIQUE(INDEX(_xlfn._xlws.FILTER(Tabel134232323[[type]:[brp_id]],(Tabel134232323[brp_id]=AF16)*(Tabel134232323[settlement_method]=AG$2),""),,10))),"")</f>
        <v/>
      </c>
      <c r="AG31" s="36"/>
      <c r="AH31" s="36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</row>
    <row r="32" spans="1:92" x14ac:dyDescent="0.25">
      <c r="B32" s="16" t="str">
        <f>IF(AND(F32&lt;&gt;"null",F32&lt;&gt;""),IF(F32=INDEX(Tabel134232323[es_id],MATCH("GLMP",Tabel134232323[note],0),1),"glmp",""),IF(AND(G32&lt;&gt;"null",G32&lt;&gt;""),IF(G32=INDEX(Tabel134232323[brp_id],MATCH("GLMP",Tabel134232323[note],0),1),"glmp",""),IF(E32=INDEX(Tabel134232323[ga_id],MATCH("GLMP",Tabel134232323[note],0),1),"glmp","")))</f>
        <v/>
      </c>
      <c r="C32" s="16" t="str">
        <f>IF(AND(F32&lt;&gt;"null",F32&lt;&gt;""),IF(F32=INDEX(Tabel134232323[es_id],MATCH("SKMP",Tabel134232323[note],0),1),"skmp",""),IF(AND(G32&lt;&gt;"null",G32&lt;&gt;""),IF(G32=INDEX(Tabel134232323[brp_id],MATCH("SKMP",Tabel134232323[note],0),1),"skmp",""),IF(E32=INDEX(Tabel134232323[ga_id],MATCH("SKMP",Tabel134232323[note],0),1),"skmp","")))</f>
        <v/>
      </c>
      <c r="D32" s="15" t="s">
        <v>76</v>
      </c>
      <c r="E32" s="31" t="str">
        <f t="shared" si="7"/>
        <v/>
      </c>
      <c r="F32" s="31" t="str">
        <f>IF(B$1="ga",IF(E32="","","null"),IF(OR(B$1="ga_es",B$1="ga_brp_es"),IF(AE$4=0,"",AE$4),IF(B$1="ga_brp",IF(G32="","","null"))))</f>
        <v/>
      </c>
      <c r="G32" s="31" t="str">
        <f>IF(B$1="ga",IF(E32="","","null"),IF(B$1="ga_es",IF(F32="","","null"),IF(B$1="ga_brp",IF(AF$4=0,"",AF$4),IF(F32="","",INDEX(Tabel134232323[brp_id],MATCH(F32,Tabel134232323[es_id],0),1)))))</f>
        <v/>
      </c>
      <c r="H32" s="33" t="str">
        <f t="shared" si="5"/>
        <v/>
      </c>
      <c r="I32" s="9">
        <f t="shared" si="8"/>
        <v>0</v>
      </c>
      <c r="J32" s="9">
        <f ca="1">SUMIFS(INDIRECT(ADDRESS(2,MATCH(D32,$1:$1,0),4,1)&amp;":"&amp;ADDRESS(19,MATCH(D32,$1:$1,0),4,1)),IF(OR(B$1="ga_es",B$1="ga_brp_es"),Tabel134232323[es_id],IF(B$1="ga_brp",Tabel134232323[brp_id],Tabel134232323[ga_id])),IF(OR(B$1="ga_es",B$1="ga_brp_es"),F32,IF(B$1="ga_brp",G32,E32)),IF(B$2="production",Tabel134232323[type],Tabel134232323[settlement_method]),AG$2,Tabel134232323[resolution],"PT15M")</f>
        <v>0</v>
      </c>
      <c r="K32" s="9">
        <f t="shared" si="6"/>
        <v>0</v>
      </c>
      <c r="L32" s="2"/>
      <c r="R32" s="15" t="s">
        <v>76</v>
      </c>
      <c r="S32" s="26" t="str">
        <f>_xlfn.IFNA(INDEX(Tabel134232323[ga_id],MATCH(U32,Tabel134232323[es_id],0)),"")</f>
        <v/>
      </c>
      <c r="T32" s="26" t="str">
        <f>_xlfn.IFNA(INDEX(Tabel134232323[brp_id],MATCH(U32,Tabel134232323[es_id],0)),"")</f>
        <v/>
      </c>
      <c r="U32" s="26" t="str">
        <f t="shared" si="11"/>
        <v/>
      </c>
      <c r="V32" s="19">
        <f t="shared" si="11"/>
        <v>0</v>
      </c>
      <c r="W32" s="19">
        <f>X32+W31</f>
        <v>0</v>
      </c>
      <c r="X32" s="19">
        <f>V32-Y31</f>
        <v>0</v>
      </c>
      <c r="Y32" s="23">
        <f t="shared" si="1"/>
        <v>0</v>
      </c>
      <c r="Z32" s="24"/>
      <c r="AA32" s="27"/>
      <c r="AB32" s="2"/>
      <c r="AC32" s="2"/>
      <c r="AD32" s="36"/>
      <c r="AE32" s="36" t="str" cm="1">
        <f t="array" ref="AE32">IFERROR(IF($B$2="production",_xlfn.UNIQUE(INDEX(_xlfn._xlws.FILTER(Tabel134232323[[type]:[brp_id]],(Tabel134232323[es_id]=AE16)*(Tabel134232323[type]="E18"),""),,9)),_xlfn.UNIQUE(INDEX(_xlfn._xlws.FILTER(Tabel134232323[[type]:[brp_id]],(Tabel134232323[es_id]=AE16)*(Tabel134232323[settlement_method]=AG$2),""),,9))),"")</f>
        <v/>
      </c>
      <c r="AF32" s="36" t="str" cm="1">
        <f t="array" ref="AF32">IFERROR(IF($B$2="production",_xlfn.UNIQUE(INDEX(_xlfn._xlws.FILTER(Tabel134232323[[type]:[brp_id]],(Tabel134232323[brp_id]=AF17)*(Tabel134232323[type]=$AG$2),""),,10)),_xlfn.UNIQUE(INDEX(_xlfn._xlws.FILTER(Tabel134232323[[type]:[brp_id]],(Tabel134232323[brp_id]=AF17)*(Tabel134232323[settlement_method]=AG$2),""),,10))),"")</f>
        <v/>
      </c>
      <c r="AG32" s="36"/>
      <c r="AH32" s="36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</row>
    <row r="33" spans="1:92" x14ac:dyDescent="0.25">
      <c r="B33" s="16" t="str">
        <f>IF(AND(F33&lt;&gt;"null",F33&lt;&gt;""),IF(F33=INDEX(Tabel134232323[es_id],MATCH("GLMP",Tabel134232323[note],0),1),"glmp",""),IF(AND(G33&lt;&gt;"null",G33&lt;&gt;""),IF(G33=INDEX(Tabel134232323[brp_id],MATCH("GLMP",Tabel134232323[note],0),1),"glmp",""),IF(E33=INDEX(Tabel134232323[ga_id],MATCH("GLMP",Tabel134232323[note],0),1),"glmp","")))</f>
        <v/>
      </c>
      <c r="C33" s="16" t="str">
        <f>IF(AND(F33&lt;&gt;"null",F33&lt;&gt;""),IF(F33=INDEX(Tabel134232323[es_id],MATCH("SKMP",Tabel134232323[note],0),1),"skmp",""),IF(AND(G33&lt;&gt;"null",G33&lt;&gt;""),IF(G33=INDEX(Tabel134232323[brp_id],MATCH("SKMP",Tabel134232323[note],0),1),"skmp",""),IF(E33=INDEX(Tabel134232323[ga_id],MATCH("SKMP",Tabel134232323[note],0),1),"skmp","")))</f>
        <v/>
      </c>
      <c r="D33" s="15" t="s">
        <v>77</v>
      </c>
      <c r="E33" s="31" t="str">
        <f t="shared" si="7"/>
        <v/>
      </c>
      <c r="F33" s="31" t="str">
        <f>IF(B$1="ga",IF(E33="","","null"),IF(OR(B$1="ga_es",B$1="ga_brp_es"),IF(AE$4=0,"",AE$4),IF(B$1="ga_brp",IF(G33="","","null"))))</f>
        <v/>
      </c>
      <c r="G33" s="31" t="str">
        <f>IF(B$1="ga",IF(E33="","","null"),IF(B$1="ga_es",IF(F33="","","null"),IF(B$1="ga_brp",IF(AF$4=0,"",AF$4),IF(F33="","",INDEX(Tabel134232323[brp_id],MATCH(F33,Tabel134232323[es_id],0),1)))))</f>
        <v/>
      </c>
      <c r="H33" s="33" t="str">
        <f t="shared" si="5"/>
        <v/>
      </c>
      <c r="I33" s="9">
        <f t="shared" si="8"/>
        <v>0</v>
      </c>
      <c r="J33" s="9">
        <f ca="1">SUMIFS(INDIRECT(ADDRESS(2,MATCH(D33,$1:$1,0),4,1)&amp;":"&amp;ADDRESS(19,MATCH(D33,$1:$1,0),4,1)),IF(OR(B$1="ga_es",B$1="ga_brp_es"),Tabel134232323[es_id],IF(B$1="ga_brp",Tabel134232323[brp_id],Tabel134232323[ga_id])),IF(OR(B$1="ga_es",B$1="ga_brp_es"),F33,IF(B$1="ga_brp",G33,E33)),IF(B$2="production",Tabel134232323[type],Tabel134232323[settlement_method]),AG$2,Tabel134232323[resolution],"PT15M")</f>
        <v>0</v>
      </c>
      <c r="K33" s="9">
        <f t="shared" si="6"/>
        <v>0</v>
      </c>
      <c r="L33" s="2"/>
      <c r="R33" s="15" t="s">
        <v>77</v>
      </c>
      <c r="S33" s="26" t="str">
        <f>_xlfn.IFNA(INDEX(Tabel134232323[ga_id],MATCH(U33,Tabel134232323[es_id],0)),"")</f>
        <v/>
      </c>
      <c r="T33" s="26" t="str">
        <f>_xlfn.IFNA(INDEX(Tabel134232323[brp_id],MATCH(U33,Tabel134232323[es_id],0)),"")</f>
        <v/>
      </c>
      <c r="U33" s="26" t="str">
        <f t="shared" si="11"/>
        <v/>
      </c>
      <c r="V33" s="19">
        <f t="shared" si="11"/>
        <v>0</v>
      </c>
      <c r="W33" s="19">
        <f>X33+W32</f>
        <v>0</v>
      </c>
      <c r="X33" s="19">
        <f>V33-Y32</f>
        <v>0</v>
      </c>
      <c r="Y33" s="23">
        <f t="shared" si="1"/>
        <v>0</v>
      </c>
      <c r="Z33" s="24"/>
      <c r="AA33" s="27"/>
      <c r="AB33" s="2"/>
      <c r="AC33" s="2"/>
      <c r="AD33" s="36"/>
      <c r="AE33" s="36" t="str" cm="1">
        <f t="array" ref="AE33">IFERROR(IF($B$2="production",_xlfn.UNIQUE(INDEX(_xlfn._xlws.FILTER(Tabel134232323[[type]:[brp_id]],(Tabel134232323[es_id]=AE17)*(Tabel134232323[type]="E18"),""),,9)),_xlfn.UNIQUE(INDEX(_xlfn._xlws.FILTER(Tabel134232323[[type]:[brp_id]],(Tabel134232323[es_id]=AE17)*(Tabel134232323[settlement_method]=AG$2),""),,9))),"")</f>
        <v/>
      </c>
      <c r="AF33" s="36" t="str" cm="1">
        <f t="array" ref="AF33">IFERROR(IF($B$2="production",_xlfn.UNIQUE(INDEX(_xlfn._xlws.FILTER(Tabel134232323[[type]:[brp_id]],(Tabel134232323[brp_id]=AF18)*(Tabel134232323[type]=$AG$2),""),,10)),_xlfn.UNIQUE(INDEX(_xlfn._xlws.FILTER(Tabel134232323[[type]:[brp_id]],(Tabel134232323[brp_id]=AF18)*(Tabel134232323[settlement_method]=AG$2),""),,10))),"")</f>
        <v/>
      </c>
      <c r="AG33" s="36"/>
      <c r="AH33" s="36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spans="1:92" x14ac:dyDescent="0.25">
      <c r="B34" s="16" t="str">
        <f>IF(AND(F34&lt;&gt;"null",F34&lt;&gt;""),IF(F34=INDEX(Tabel134232323[es_id],MATCH("GLMP",Tabel134232323[note],0),1),"glmp",""),IF(AND(G34&lt;&gt;"null",G34&lt;&gt;""),IF(G34=INDEX(Tabel134232323[brp_id],MATCH("GLMP",Tabel134232323[note],0),1),"glmp",""),IF(E34=INDEX(Tabel134232323[ga_id],MATCH("GLMP",Tabel134232323[note],0),1),"glmp","")))</f>
        <v/>
      </c>
      <c r="C34" s="16" t="str">
        <f>IF(AND(F34&lt;&gt;"null",F34&lt;&gt;""),IF(F34=INDEX(Tabel134232323[es_id],MATCH("SKMP",Tabel134232323[note],0),1),"skmp",""),IF(AND(G34&lt;&gt;"null",G34&lt;&gt;""),IF(G34=INDEX(Tabel134232323[brp_id],MATCH("SKMP",Tabel134232323[note],0),1),"skmp",""),IF(E34=INDEX(Tabel134232323[ga_id],MATCH("SKMP",Tabel134232323[note],0),1),"skmp","")))</f>
        <v/>
      </c>
      <c r="D34" s="15" t="s">
        <v>74</v>
      </c>
      <c r="E34" s="31" t="str">
        <f t="shared" si="7"/>
        <v/>
      </c>
      <c r="F34" s="31" t="str">
        <f>IF(B$1="ga",IF(E34="","","null"),IF(OR(B$1="ga_es",B$1="ga_brp_es"),IF(AE$5=0,"",AE$5),IF(B$1="ga_brp",IF(G34="","","null"))))</f>
        <v/>
      </c>
      <c r="G34" s="31" t="str">
        <f>IF(B$1="ga",IF(E34="","","null"),IF(B$1="ga_es",IF(F34="","","null"),IF(B$1="ga_brp",IF(AF$5=0,"",AF$5),IF(F34="","",INDEX(Tabel134232323[brp_id],MATCH(F34,Tabel134232323[es_id],0),1)))))</f>
        <v/>
      </c>
      <c r="H34" s="33" t="str">
        <f t="shared" si="5"/>
        <v/>
      </c>
      <c r="I34" s="9">
        <f t="shared" si="8"/>
        <v>0</v>
      </c>
      <c r="J34" s="9">
        <f ca="1">SUMIFS(INDIRECT(ADDRESS(2,MATCH(D34,$1:$1,0),4,1)&amp;":"&amp;ADDRESS(19,MATCH(D34,$1:$1,0),4,1)),IF(OR(B$1="ga_es",B$1="ga_brp_es"),Tabel134232323[es_id],IF(B$1="ga_brp",Tabel134232323[brp_id],Tabel134232323[ga_id])),IF(OR(B$1="ga_es",B$1="ga_brp_es"),F34,IF(B$1="ga_brp",G34,E34)),IF(B$2="production",Tabel134232323[type],Tabel134232323[settlement_method]),AG$2,Tabel134232323[resolution],"PT15M")</f>
        <v>0</v>
      </c>
      <c r="K34" s="9">
        <f t="shared" si="6"/>
        <v>0</v>
      </c>
      <c r="L34" s="2"/>
      <c r="R34" s="24"/>
      <c r="S34" s="24"/>
      <c r="T34" s="24"/>
      <c r="U34" s="24"/>
      <c r="V34" s="24"/>
      <c r="W34" s="24"/>
      <c r="X34" s="24"/>
      <c r="Y34" s="24"/>
      <c r="Z34" s="24"/>
      <c r="AA34" s="27"/>
      <c r="AB34" s="2"/>
      <c r="AC34" s="2"/>
      <c r="AD34" s="36"/>
      <c r="AE34" s="36" t="str" cm="1">
        <f t="array" ref="AE34">IFERROR(IF($B$2="production",_xlfn.UNIQUE(INDEX(_xlfn._xlws.FILTER(Tabel134232323[[type]:[brp_id]],(Tabel134232323[es_id]=AE18)*(Tabel134232323[type]="E18"),""),,9)),_xlfn.UNIQUE(INDEX(_xlfn._xlws.FILTER(Tabel134232323[[type]:[brp_id]],(Tabel134232323[es_id]=AE18)*(Tabel134232323[settlement_method]=AG$2),""),,9))),"")</f>
        <v/>
      </c>
      <c r="AF34" s="36" t="str" cm="1">
        <f t="array" ref="AF34">IFERROR(IF($B$2="production",_xlfn.UNIQUE(INDEX(_xlfn._xlws.FILTER(Tabel134232323[[type]:[brp_id]],(Tabel134232323[brp_id]=AF19)*(Tabel134232323[type]=$AG$2),""),,10)),_xlfn.UNIQUE(INDEX(_xlfn._xlws.FILTER(Tabel134232323[[type]:[brp_id]],(Tabel134232323[brp_id]=AF19)*(Tabel134232323[settlement_method]=AG$2),""),,10))),"")</f>
        <v/>
      </c>
      <c r="AG34" s="36"/>
      <c r="AH34" s="3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</row>
    <row r="35" spans="1:92" x14ac:dyDescent="0.25">
      <c r="B35" s="16" t="str">
        <f>IF(AND(F35&lt;&gt;"null",F35&lt;&gt;""),IF(F35=INDEX(Tabel134232323[es_id],MATCH("GLMP",Tabel134232323[note],0),1),"glmp",""),IF(AND(G35&lt;&gt;"null",G35&lt;&gt;""),IF(G35=INDEX(Tabel134232323[brp_id],MATCH("GLMP",Tabel134232323[note],0),1),"glmp",""),IF(E35=INDEX(Tabel134232323[ga_id],MATCH("GLMP",Tabel134232323[note],0),1),"glmp","")))</f>
        <v/>
      </c>
      <c r="C35" s="16" t="str">
        <f>IF(AND(F35&lt;&gt;"null",F35&lt;&gt;""),IF(F35=INDEX(Tabel134232323[es_id],MATCH("SKMP",Tabel134232323[note],0),1),"skmp",""),IF(AND(G35&lt;&gt;"null",G35&lt;&gt;""),IF(G35=INDEX(Tabel134232323[brp_id],MATCH("SKMP",Tabel134232323[note],0),1),"skmp",""),IF(E35=INDEX(Tabel134232323[ga_id],MATCH("SKMP",Tabel134232323[note],0),1),"skmp","")))</f>
        <v/>
      </c>
      <c r="D35" s="15" t="s">
        <v>75</v>
      </c>
      <c r="E35" s="31" t="str">
        <f t="shared" si="7"/>
        <v/>
      </c>
      <c r="F35" s="31" t="str">
        <f>IF(B$1="ga",IF(E35="","","null"),IF(OR(B$1="ga_es",B$1="ga_brp_es"),IF(AE$5=0,"",AE$5),IF(B$1="ga_brp",IF(G35="","","null"))))</f>
        <v/>
      </c>
      <c r="G35" s="31" t="str">
        <f>IF(B$1="ga",IF(E35="","","null"),IF(B$1="ga_es",IF(F35="","","null"),IF(B$1="ga_brp",IF(AF$5=0,"",AF$5),IF(F35="","",INDEX(Tabel134232323[brp_id],MATCH(F35,Tabel134232323[es_id],0),1)))))</f>
        <v/>
      </c>
      <c r="H35" s="33" t="str">
        <f t="shared" si="5"/>
        <v/>
      </c>
      <c r="I35" s="9">
        <f t="shared" si="8"/>
        <v>0</v>
      </c>
      <c r="J35" s="9">
        <f ca="1">SUMIFS(INDIRECT(ADDRESS(2,MATCH(D35,$1:$1,0),4,1)&amp;":"&amp;ADDRESS(19,MATCH(D35,$1:$1,0),4,1)),IF(OR(B$1="ga_es",B$1="ga_brp_es"),Tabel134232323[es_id],IF(B$1="ga_brp",Tabel134232323[brp_id],Tabel134232323[ga_id])),IF(OR(B$1="ga_es",B$1="ga_brp_es"),F35,IF(B$1="ga_brp",G35,E35)),IF(B$2="production",Tabel134232323[type],Tabel134232323[settlement_method]),AG$2,Tabel134232323[resolution],"PT15M")</f>
        <v>0</v>
      </c>
      <c r="K35" s="9">
        <f t="shared" si="6"/>
        <v>0</v>
      </c>
      <c r="L35" s="2"/>
      <c r="R35" s="24"/>
      <c r="S35" s="24"/>
      <c r="T35" s="24"/>
      <c r="U35" s="24"/>
      <c r="V35" s="28">
        <f>SUMIFS(Tabel134232323[TotalHour],Tabel134232323[settlement_method],"D01",Tabel134232323[resolution],"PT1H")</f>
        <v>0</v>
      </c>
      <c r="W35" s="16" t="s">
        <v>49</v>
      </c>
      <c r="X35" s="16"/>
      <c r="Y35" s="28">
        <f>SUM(Y37:Y40)</f>
        <v>0</v>
      </c>
      <c r="Z35" s="21">
        <f>SUM(Z37:Z40)</f>
        <v>0</v>
      </c>
      <c r="AA35" s="27"/>
      <c r="AB35" s="2"/>
      <c r="AC35" s="2"/>
      <c r="AD35" s="36"/>
      <c r="AE35" s="36" t="str" cm="1">
        <f t="array" ref="AE35">IFERROR(IF($B$2="production",_xlfn.UNIQUE(INDEX(_xlfn._xlws.FILTER(Tabel134232323[[type]:[brp_id]],(Tabel134232323[es_id]=AE19)*(Tabel134232323[type]="E18"),""),,9)),_xlfn.UNIQUE(INDEX(_xlfn._xlws.FILTER(Tabel134232323[[type]:[brp_id]],(Tabel134232323[es_id]=AE19)*(Tabel134232323[settlement_method]=AG$2),""),,9))),"")</f>
        <v/>
      </c>
      <c r="AF35" s="36" t="str" cm="1">
        <f t="array" ref="AF35">IFERROR(IF($B$2="production",_xlfn.UNIQUE(INDEX(_xlfn._xlws.FILTER(Tabel134232323[[type]:[brp_id]],(Tabel134232323[brp_id]=AF20)*(Tabel134232323[type]=$AG$2),""),,10)),_xlfn.UNIQUE(INDEX(_xlfn._xlws.FILTER(Tabel134232323[[type]:[brp_id]],(Tabel134232323[brp_id]=AF20)*(Tabel134232323[settlement_method]=AG$2),""),,10))),"")</f>
        <v/>
      </c>
      <c r="AG35" s="36"/>
      <c r="AH35" s="36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</row>
    <row r="36" spans="1:92" x14ac:dyDescent="0.25">
      <c r="B36" s="16" t="str">
        <f>IF(AND(F36&lt;&gt;"null",F36&lt;&gt;""),IF(F36=INDEX(Tabel134232323[es_id],MATCH("GLMP",Tabel134232323[note],0),1),"glmp",""),IF(AND(G36&lt;&gt;"null",G36&lt;&gt;""),IF(G36=INDEX(Tabel134232323[brp_id],MATCH("GLMP",Tabel134232323[note],0),1),"glmp",""),IF(E36=INDEX(Tabel134232323[ga_id],MATCH("GLMP",Tabel134232323[note],0),1),"glmp","")))</f>
        <v/>
      </c>
      <c r="C36" s="16" t="str">
        <f>IF(AND(F36&lt;&gt;"null",F36&lt;&gt;""),IF(F36=INDEX(Tabel134232323[es_id],MATCH("SKMP",Tabel134232323[note],0),1),"skmp",""),IF(AND(G36&lt;&gt;"null",G36&lt;&gt;""),IF(G36=INDEX(Tabel134232323[brp_id],MATCH("SKMP",Tabel134232323[note],0),1),"skmp",""),IF(E36=INDEX(Tabel134232323[ga_id],MATCH("SKMP",Tabel134232323[note],0),1),"skmp","")))</f>
        <v/>
      </c>
      <c r="D36" s="15" t="s">
        <v>76</v>
      </c>
      <c r="E36" s="31" t="str">
        <f t="shared" si="7"/>
        <v/>
      </c>
      <c r="F36" s="31" t="str">
        <f>IF(B$1="ga",IF(E36="","","null"),IF(OR(B$1="ga_es",B$1="ga_brp_es"),IF(AE$5=0,"",AE$5),IF(B$1="ga_brp",IF(G36="","","null"))))</f>
        <v/>
      </c>
      <c r="G36" s="31" t="str">
        <f>IF(B$1="ga",IF(E36="","","null"),IF(B$1="ga_es",IF(F36="","","null"),IF(B$1="ga_brp",IF(AF$5=0,"",AF$5),IF(F36="","",INDEX(Tabel134232323[brp_id],MATCH(F36,Tabel134232323[es_id],0),1)))))</f>
        <v/>
      </c>
      <c r="H36" s="33" t="str">
        <f t="shared" si="5"/>
        <v/>
      </c>
      <c r="I36" s="9">
        <f t="shared" si="8"/>
        <v>0</v>
      </c>
      <c r="J36" s="9">
        <f ca="1">SUMIFS(INDIRECT(ADDRESS(2,MATCH(D36,$1:$1,0),4,1)&amp;":"&amp;ADDRESS(19,MATCH(D36,$1:$1,0),4,1)),IF(OR(B$1="ga_es",B$1="ga_brp_es"),Tabel134232323[es_id],IF(B$1="ga_brp",Tabel134232323[brp_id],Tabel134232323[ga_id])),IF(OR(B$1="ga_es",B$1="ga_brp_es"),F36,IF(B$1="ga_brp",G36,E36)),IF(B$2="production",Tabel134232323[type],Tabel134232323[settlement_method]),AG$2,Tabel134232323[resolution],"PT15M")</f>
        <v>0</v>
      </c>
      <c r="K36" s="9">
        <f t="shared" si="6"/>
        <v>0</v>
      </c>
      <c r="L36" s="2"/>
      <c r="R36" s="24"/>
      <c r="S36" s="24"/>
      <c r="T36" s="24"/>
      <c r="U36" s="7" t="s">
        <v>43</v>
      </c>
      <c r="V36" s="20">
        <f>SUMIFS(Tabel134232323[TotalHour],Tabel134232323[settlement_method],"D01",Tabel134232323[resolution],"PT1H")/4</f>
        <v>0</v>
      </c>
      <c r="W36" s="7" t="s">
        <v>45</v>
      </c>
      <c r="X36" s="7" t="s">
        <v>46</v>
      </c>
      <c r="Y36" s="7" t="s">
        <v>47</v>
      </c>
      <c r="Z36" s="7" t="s">
        <v>48</v>
      </c>
      <c r="AA36" s="27"/>
      <c r="AB36" s="2"/>
      <c r="AC36" s="2"/>
      <c r="AD36" s="36"/>
      <c r="AE36" s="36" t="str" cm="1">
        <f t="array" ref="AE36">IFERROR(IF($B$2="production",_xlfn.UNIQUE(INDEX(_xlfn._xlws.FILTER(Tabel134232323[[type]:[brp_id]],(Tabel134232323[es_id]=AE20)*(Tabel134232323[type]="E18"),""),,9)),_xlfn.UNIQUE(INDEX(_xlfn._xlws.FILTER(Tabel134232323[[type]:[brp_id]],(Tabel134232323[es_id]=AE20)*(Tabel134232323[settlement_method]=AG$2),""),,9))),"")</f>
        <v/>
      </c>
      <c r="AF36" s="36" t="str" cm="1">
        <f t="array" ref="AF36">IFERROR(IF($B$2="production",_xlfn.UNIQUE(INDEX(_xlfn._xlws.FILTER(Tabel134232323[[type]:[brp_id]],(Tabel134232323[brp_id]=AF21)*(Tabel134232323[type]=$AG$2),""),,10)),_xlfn.UNIQUE(INDEX(_xlfn._xlws.FILTER(Tabel134232323[[type]:[brp_id]],(Tabel134232323[brp_id]=AF21)*(Tabel134232323[settlement_method]=AG$2),""),,10))),"")</f>
        <v/>
      </c>
      <c r="AG36" s="36"/>
      <c r="AH36" s="36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spans="1:92" x14ac:dyDescent="0.25">
      <c r="B37" s="16" t="str">
        <f>IF(AND(F37&lt;&gt;"null",F37&lt;&gt;""),IF(F37=INDEX(Tabel134232323[es_id],MATCH("GLMP",Tabel134232323[note],0),1),"glmp",""),IF(AND(G37&lt;&gt;"null",G37&lt;&gt;""),IF(G37=INDEX(Tabel134232323[brp_id],MATCH("GLMP",Tabel134232323[note],0),1),"glmp",""),IF(E37=INDEX(Tabel134232323[ga_id],MATCH("GLMP",Tabel134232323[note],0),1),"glmp","")))</f>
        <v/>
      </c>
      <c r="C37" s="16" t="str">
        <f>IF(AND(F37&lt;&gt;"null",F37&lt;&gt;""),IF(F37=INDEX(Tabel134232323[es_id],MATCH("SKMP",Tabel134232323[note],0),1),"skmp",""),IF(AND(G37&lt;&gt;"null",G37&lt;&gt;""),IF(G37=INDEX(Tabel134232323[brp_id],MATCH("SKMP",Tabel134232323[note],0),1),"skmp",""),IF(E37=INDEX(Tabel134232323[ga_id],MATCH("SKMP",Tabel134232323[note],0),1),"skmp","")))</f>
        <v/>
      </c>
      <c r="D37" s="15" t="s">
        <v>77</v>
      </c>
      <c r="E37" s="31" t="str">
        <f t="shared" si="7"/>
        <v/>
      </c>
      <c r="F37" s="31" t="str">
        <f>IF(B$1="ga",IF(E37="","","null"),IF(OR(B$1="ga_es",B$1="ga_brp_es"),IF(AE$5=0,"",AE$5),IF(B$1="ga_brp",IF(G37="","","null"))))</f>
        <v/>
      </c>
      <c r="G37" s="31" t="str">
        <f>IF(B$1="ga",IF(E37="","","null"),IF(B$1="ga_es",IF(F37="","","null"),IF(B$1="ga_brp",IF(AF$5=0,"",AF$5),IF(F37="","",INDEX(Tabel134232323[brp_id],MATCH(F37,Tabel134232323[es_id],0),1)))))</f>
        <v/>
      </c>
      <c r="H37" s="33" t="str">
        <f t="shared" si="5"/>
        <v/>
      </c>
      <c r="I37" s="9">
        <f t="shared" si="8"/>
        <v>0</v>
      </c>
      <c r="J37" s="9">
        <f ca="1">SUMIFS(INDIRECT(ADDRESS(2,MATCH(D37,$1:$1,0),4,1)&amp;":"&amp;ADDRESS(19,MATCH(D37,$1:$1,0),4,1)),IF(OR(B$1="ga_es",B$1="ga_brp_es"),Tabel134232323[es_id],IF(B$1="ga_brp",Tabel134232323[brp_id],Tabel134232323[ga_id])),IF(OR(B$1="ga_es",B$1="ga_brp_es"),F37,IF(B$1="ga_brp",G37,E37)),IF(B$2="production",Tabel134232323[type],Tabel134232323[settlement_method]),AG$2,Tabel134232323[resolution],"PT15M")</f>
        <v>0</v>
      </c>
      <c r="K37" s="9">
        <f t="shared" si="6"/>
        <v>0</v>
      </c>
      <c r="L37" s="2"/>
      <c r="R37" s="24"/>
      <c r="S37" s="24"/>
      <c r="T37" s="24"/>
      <c r="U37" s="15" t="s">
        <v>54</v>
      </c>
      <c r="V37" s="19">
        <f>V$36</f>
        <v>0</v>
      </c>
      <c r="W37" s="19">
        <f>V37</f>
        <v>0</v>
      </c>
      <c r="X37" s="19"/>
      <c r="Y37" s="23">
        <f>ROUND(W37, 3)</f>
        <v>0</v>
      </c>
      <c r="Z37" s="23">
        <f>ROUND(V37,3)</f>
        <v>0</v>
      </c>
      <c r="AA37" s="27"/>
      <c r="AB37" s="2"/>
      <c r="AC37" s="2"/>
      <c r="AD37" s="36"/>
      <c r="AE37" s="36" t="str" cm="1">
        <f t="array" ref="AE37">IFERROR(IF($B$2="production",_xlfn.UNIQUE(INDEX(_xlfn._xlws.FILTER(Tabel134232323[[type]:[brp_id]],(Tabel134232323[es_id]=AE21)*(Tabel134232323[type]="E18"),""),,9)),_xlfn.UNIQUE(INDEX(_xlfn._xlws.FILTER(Tabel134232323[[type]:[brp_id]],(Tabel134232323[es_id]=AE21)*(Tabel134232323[settlement_method]=AG$2),""),,9))),"")</f>
        <v/>
      </c>
      <c r="AF37" s="36" t="str" cm="1">
        <f t="array" ref="AF37">IFERROR(IF($B$2="production",_xlfn.UNIQUE(INDEX(_xlfn._xlws.FILTER(Tabel134232323[[type]:[brp_id]],(Tabel134232323[brp_id]=AF22)*(Tabel134232323[type]=$AG$2),""),,10)),_xlfn.UNIQUE(INDEX(_xlfn._xlws.FILTER(Tabel134232323[[type]:[brp_id]],(Tabel134232323[brp_id]=AF22)*(Tabel134232323[settlement_method]=AG$2),""),,10))),"")</f>
        <v/>
      </c>
      <c r="AG37" s="36"/>
      <c r="AH37" s="36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spans="1:92" x14ac:dyDescent="0.25">
      <c r="B38" s="16" t="str">
        <f>IF(AND(F38&lt;&gt;"null",F38&lt;&gt;""),IF(F38=INDEX(Tabel134232323[es_id],MATCH("GLMP",Tabel134232323[note],0),1),"glmp",""),IF(AND(G38&lt;&gt;"null",G38&lt;&gt;""),IF(G38=INDEX(Tabel134232323[brp_id],MATCH("GLMP",Tabel134232323[note],0),1),"glmp",""),IF(E38=INDEX(Tabel134232323[ga_id],MATCH("GLMP",Tabel134232323[note],0),1),"glmp","")))</f>
        <v/>
      </c>
      <c r="C38" s="16" t="str">
        <f>IF(AND(F38&lt;&gt;"null",F38&lt;&gt;""),IF(F38=INDEX(Tabel134232323[es_id],MATCH("SKMP",Tabel134232323[note],0),1),"skmp",""),IF(AND(G38&lt;&gt;"null",G38&lt;&gt;""),IF(G38=INDEX(Tabel134232323[brp_id],MATCH("SKMP",Tabel134232323[note],0),1),"skmp",""),IF(E38=INDEX(Tabel134232323[ga_id],MATCH("SKMP",Tabel134232323[note],0),1),"skmp","")))</f>
        <v/>
      </c>
      <c r="D38" s="15" t="s">
        <v>74</v>
      </c>
      <c r="E38" s="31" t="str">
        <f t="shared" si="7"/>
        <v/>
      </c>
      <c r="F38" s="31" t="str">
        <f>IF(B$1="ga",IF(E38="","","null"),IF(OR(B$1="ga_es",B$1="ga_brp_es"),IF(AE$6=0,"",AE$5),IF(B$1="ga_brp",IF(G38="","","null"))))</f>
        <v/>
      </c>
      <c r="G38" s="31" t="str">
        <f>IF(B$1="ga",IF(E38="","","null"),IF(B$1="ga_es",IF(F38="","","null"),IF(B$1="ga_brp",IF(AF$5=0,"",AF$5),IF(F38="","",INDEX(Tabel134232323[brp_id],MATCH(F38,Tabel134232323[es_id],0),1)))))</f>
        <v/>
      </c>
      <c r="H38" s="33" t="str">
        <f t="shared" si="5"/>
        <v/>
      </c>
      <c r="I38" s="9">
        <f t="shared" si="8"/>
        <v>0</v>
      </c>
      <c r="J38" s="9">
        <f ca="1">SUMIFS(INDIRECT(ADDRESS(2,MATCH(D38,$1:$1,0),4,1)&amp;":"&amp;ADDRESS(19,MATCH(D38,$1:$1,0),4,1)),IF(OR(B$1="ga_es",B$1="ga_brp_es"),Tabel134232323[es_id],IF(B$1="ga_brp",Tabel134232323[brp_id],Tabel134232323[ga_id])),IF(OR(B$1="ga_es",B$1="ga_brp_es"),F38,IF(B$1="ga_brp",G38,E38)),IF(B$2="production",Tabel134232323[type],Tabel134232323[settlement_method]),AG$2,Tabel134232323[resolution],"PT15M")</f>
        <v>0</v>
      </c>
      <c r="K38" s="9">
        <f t="shared" si="6"/>
        <v>0</v>
      </c>
      <c r="L38" s="2"/>
      <c r="R38" s="24"/>
      <c r="S38" s="24"/>
      <c r="T38" s="24"/>
      <c r="U38" s="15" t="s">
        <v>55</v>
      </c>
      <c r="V38" s="19">
        <f>V$36</f>
        <v>0</v>
      </c>
      <c r="W38" s="19">
        <f>X38+W37</f>
        <v>0</v>
      </c>
      <c r="X38" s="19">
        <f>V38-Y37</f>
        <v>0</v>
      </c>
      <c r="Y38" s="23">
        <f>ROUND(W38, 3)</f>
        <v>0</v>
      </c>
      <c r="Z38" s="23">
        <f>ROUND(V38,3)</f>
        <v>0</v>
      </c>
      <c r="AA38" s="27"/>
      <c r="AB38" s="2"/>
      <c r="AC38" s="2"/>
      <c r="AD38" s="36"/>
      <c r="AE38" s="36" t="str" cm="1">
        <f t="array" ref="AE38">IFERROR(IF($B$2="production",_xlfn.UNIQUE(INDEX(_xlfn._xlws.FILTER(Tabel134232323[[type]:[brp_id]],(Tabel134232323[es_id]=AE22)*(Tabel134232323[type]="E18"),""),,9)),_xlfn.UNIQUE(INDEX(_xlfn._xlws.FILTER(Tabel134232323[[type]:[brp_id]],(Tabel134232323[es_id]=AE22)*(Tabel134232323[settlement_method]=AG$2),""),,9))),"")</f>
        <v/>
      </c>
      <c r="AF38" s="36" t="str" cm="1">
        <f t="array" ref="AF38">IFERROR(IF($B$2="production",_xlfn.UNIQUE(INDEX(_xlfn._xlws.FILTER(Tabel134232323[[type]:[brp_id]],(Tabel134232323[brp_id]=AF23)*(Tabel134232323[type]=$AG$2),""),,10)),_xlfn.UNIQUE(INDEX(_xlfn._xlws.FILTER(Tabel134232323[[type]:[brp_id]],(Tabel134232323[brp_id]=AF23)*(Tabel134232323[settlement_method]=AG$2),""),,10))),"")</f>
        <v/>
      </c>
      <c r="AG38" s="36"/>
      <c r="AH38" s="3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spans="1:92" x14ac:dyDescent="0.25">
      <c r="B39" s="16" t="str">
        <f>IF(AND(F39&lt;&gt;"null",F39&lt;&gt;""),IF(F39=INDEX(Tabel134232323[es_id],MATCH("GLMP",Tabel134232323[note],0),1),"glmp",""),IF(AND(G39&lt;&gt;"null",G39&lt;&gt;""),IF(G39=INDEX(Tabel134232323[brp_id],MATCH("GLMP",Tabel134232323[note],0),1),"glmp",""),IF(E39=INDEX(Tabel134232323[ga_id],MATCH("GLMP",Tabel134232323[note],0),1),"glmp","")))</f>
        <v/>
      </c>
      <c r="C39" s="16" t="str">
        <f>IF(AND(F39&lt;&gt;"null",F39&lt;&gt;""),IF(F39=INDEX(Tabel134232323[es_id],MATCH("SKMP",Tabel134232323[note],0),1),"skmp",""),IF(AND(G39&lt;&gt;"null",G39&lt;&gt;""),IF(G39=INDEX(Tabel134232323[brp_id],MATCH("SKMP",Tabel134232323[note],0),1),"skmp",""),IF(E39=INDEX(Tabel134232323[ga_id],MATCH("SKMP",Tabel134232323[note],0),1),"skmp","")))</f>
        <v/>
      </c>
      <c r="D39" s="15" t="s">
        <v>75</v>
      </c>
      <c r="E39" s="31" t="str">
        <f t="shared" si="7"/>
        <v/>
      </c>
      <c r="F39" s="31" t="str">
        <f>IF(B$1="ga",IF(E39="","","null"),IF(OR(B$1="ga_es",B$1="ga_brp_es"),IF(AE$6=0,"",AE$5),IF(B$1="ga_brp",IF(G39="","","null"))))</f>
        <v/>
      </c>
      <c r="G39" s="31" t="str">
        <f>IF(B$1="ga",IF(E39="","","null"),IF(B$1="ga_es",IF(F39="","","null"),IF(B$1="ga_brp",IF(AF$5=0,"",AF$5),IF(F39="","",INDEX(Tabel134232323[brp_id],MATCH(F39,Tabel134232323[es_id],0),1)))))</f>
        <v/>
      </c>
      <c r="H39" s="33" t="str">
        <f t="shared" si="5"/>
        <v/>
      </c>
      <c r="I39" s="9">
        <f t="shared" si="8"/>
        <v>0</v>
      </c>
      <c r="J39" s="9">
        <f ca="1">SUMIFS(INDIRECT(ADDRESS(2,MATCH(D39,$1:$1,0),4,1)&amp;":"&amp;ADDRESS(19,MATCH(D39,$1:$1,0),4,1)),IF(OR(B$1="ga_es",B$1="ga_brp_es"),Tabel134232323[es_id],IF(B$1="ga_brp",Tabel134232323[brp_id],Tabel134232323[ga_id])),IF(OR(B$1="ga_es",B$1="ga_brp_es"),F39,IF(B$1="ga_brp",G39,E39)),IF(B$2="production",Tabel134232323[type],Tabel134232323[settlement_method]),AG$2,Tabel134232323[resolution],"PT15M")</f>
        <v>0</v>
      </c>
      <c r="K39" s="9">
        <f t="shared" si="6"/>
        <v>0</v>
      </c>
      <c r="L39" s="2"/>
      <c r="R39" s="24"/>
      <c r="S39" s="24"/>
      <c r="T39" s="24"/>
      <c r="U39" s="15" t="s">
        <v>56</v>
      </c>
      <c r="V39" s="19">
        <f>V$36</f>
        <v>0</v>
      </c>
      <c r="W39" s="19">
        <f>X39+W38</f>
        <v>0</v>
      </c>
      <c r="X39" s="19">
        <f>V39-Y38</f>
        <v>0</v>
      </c>
      <c r="Y39" s="23">
        <f>ROUND(W39, 3)</f>
        <v>0</v>
      </c>
      <c r="Z39" s="23">
        <f>ROUND(V39,3)</f>
        <v>0</v>
      </c>
      <c r="AA39" s="27"/>
      <c r="AB39" s="2"/>
      <c r="AC39" s="2"/>
      <c r="AD39" s="36"/>
      <c r="AE39" s="36" t="str" cm="1">
        <f t="array" ref="AE39">IFERROR(IF($B$2="production",_xlfn.UNIQUE(INDEX(_xlfn._xlws.FILTER(Tabel134232323[[type]:[brp_id]],(Tabel134232323[es_id]=AE23)*(Tabel134232323[type]="E18"),""),,9)),_xlfn.UNIQUE(INDEX(_xlfn._xlws.FILTER(Tabel134232323[[type]:[brp_id]],(Tabel134232323[es_id]=AE23)*(Tabel134232323[settlement_method]=AG$2),""),,9))),"")</f>
        <v/>
      </c>
      <c r="AF39" s="36" t="str" cm="1">
        <f t="array" ref="AF39">IFERROR(IF($B$2="production",_xlfn.UNIQUE(INDEX(_xlfn._xlws.FILTER(Tabel134232323[[type]:[brp_id]],(Tabel134232323[brp_id]=AF24)*(Tabel134232323[type]=$AG$2),""),,10)),_xlfn.UNIQUE(INDEX(_xlfn._xlws.FILTER(Tabel134232323[[type]:[brp_id]],(Tabel134232323[brp_id]=AF24)*(Tabel134232323[settlement_method]=AG$2),""),,10))),"")</f>
        <v/>
      </c>
      <c r="AG39" s="36"/>
      <c r="AH39" s="36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spans="1:92" x14ac:dyDescent="0.25">
      <c r="B40" s="16" t="str">
        <f>IF(AND(F40&lt;&gt;"null",F40&lt;&gt;""),IF(F40=INDEX(Tabel134232323[es_id],MATCH("GLMP",Tabel134232323[note],0),1),"glmp",""),IF(AND(G40&lt;&gt;"null",G40&lt;&gt;""),IF(G40=INDEX(Tabel134232323[brp_id],MATCH("GLMP",Tabel134232323[note],0),1),"glmp",""),IF(E40=INDEX(Tabel134232323[ga_id],MATCH("GLMP",Tabel134232323[note],0),1),"glmp","")))</f>
        <v/>
      </c>
      <c r="C40" s="16" t="str">
        <f>IF(AND(F40&lt;&gt;"null",F40&lt;&gt;""),IF(F40=INDEX(Tabel134232323[es_id],MATCH("SKMP",Tabel134232323[note],0),1),"skmp",""),IF(AND(G40&lt;&gt;"null",G40&lt;&gt;""),IF(G40=INDEX(Tabel134232323[brp_id],MATCH("SKMP",Tabel134232323[note],0),1),"skmp",""),IF(E40=INDEX(Tabel134232323[ga_id],MATCH("SKMP",Tabel134232323[note],0),1),"skmp","")))</f>
        <v/>
      </c>
      <c r="D40" s="15" t="s">
        <v>76</v>
      </c>
      <c r="E40" s="31" t="str">
        <f t="shared" si="7"/>
        <v/>
      </c>
      <c r="F40" s="31" t="str">
        <f>IF(B$1="ga",IF(E40="","","null"),IF(OR(B$1="ga_es",B$1="ga_brp_es"),IF(AE$6=0,"",AE$5),IF(B$1="ga_brp",IF(G40="","","null"))))</f>
        <v/>
      </c>
      <c r="G40" s="31" t="str">
        <f>IF(B$1="ga",IF(E40="","","null"),IF(B$1="ga_es",IF(F40="","","null"),IF(B$1="ga_brp",IF(AF$5=0,"",AF$5),IF(F40="","",INDEX(Tabel134232323[brp_id],MATCH(F40,Tabel134232323[es_id],0),1)))))</f>
        <v/>
      </c>
      <c r="H40" s="33" t="str">
        <f t="shared" si="5"/>
        <v/>
      </c>
      <c r="I40" s="9">
        <f t="shared" si="8"/>
        <v>0</v>
      </c>
      <c r="J40" s="9">
        <f ca="1">SUMIFS(INDIRECT(ADDRESS(2,MATCH(D40,$1:$1,0),4,1)&amp;":"&amp;ADDRESS(19,MATCH(D40,$1:$1,0),4,1)),IF(OR(B$1="ga_es",B$1="ga_brp_es"),Tabel134232323[es_id],IF(B$1="ga_brp",Tabel134232323[brp_id],Tabel134232323[ga_id])),IF(OR(B$1="ga_es",B$1="ga_brp_es"),F40,IF(B$1="ga_brp",G40,E40)),IF(B$2="production",Tabel134232323[type],Tabel134232323[settlement_method]),AG$2,Tabel134232323[resolution],"PT15M")</f>
        <v>0</v>
      </c>
      <c r="K40" s="9">
        <f t="shared" si="6"/>
        <v>0</v>
      </c>
      <c r="L40" s="2"/>
      <c r="R40" s="24"/>
      <c r="S40" s="24"/>
      <c r="T40" s="24"/>
      <c r="U40" s="15" t="s">
        <v>57</v>
      </c>
      <c r="V40" s="19">
        <f>V$36</f>
        <v>0</v>
      </c>
      <c r="W40" s="19">
        <f>X40+W39</f>
        <v>0</v>
      </c>
      <c r="X40" s="19">
        <f>V40-Y39</f>
        <v>0</v>
      </c>
      <c r="Y40" s="23">
        <f>ROUND(W40, 3)</f>
        <v>0</v>
      </c>
      <c r="Z40" s="23">
        <f>ROUND(V40,3)</f>
        <v>0</v>
      </c>
      <c r="AA40" s="27"/>
      <c r="AB40" s="2"/>
      <c r="AC40" s="2"/>
      <c r="AD40" s="36"/>
      <c r="AE40" s="36" t="str" cm="1">
        <f t="array" ref="AE40">IFERROR(IF($B$2="production",_xlfn.UNIQUE(INDEX(_xlfn._xlws.FILTER(Tabel134232323[[type]:[brp_id]],(Tabel134232323[es_id]=AE24)*(Tabel134232323[type]="E18"),""),,9)),_xlfn.UNIQUE(INDEX(_xlfn._xlws.FILTER(Tabel134232323[[type]:[brp_id]],(Tabel134232323[es_id]=AE24)*(Tabel134232323[settlement_method]=AG$2),""),,9))),"")</f>
        <v/>
      </c>
      <c r="AF40" s="36" t="str" cm="1">
        <f t="array" ref="AF40">IFERROR(IF($B$2="production",_xlfn.UNIQUE(INDEX(_xlfn._xlws.FILTER(Tabel134232323[[type]:[brp_id]],(Tabel134232323[brp_id]=AF25)*(Tabel134232323[type]=$AG$2),""),,10)),_xlfn.UNIQUE(INDEX(_xlfn._xlws.FILTER(Tabel134232323[[type]:[brp_id]],(Tabel134232323[brp_id]=AF25)*(Tabel134232323[settlement_method]=AG$2),""),,10))),"")</f>
        <v/>
      </c>
      <c r="AG40" s="36"/>
      <c r="AH40" s="36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spans="1:92" x14ac:dyDescent="0.25">
      <c r="B41" s="16" t="str">
        <f>IF(AND(F41&lt;&gt;"null",F41&lt;&gt;""),IF(F41=INDEX(Tabel134232323[es_id],MATCH("GLMP",Tabel134232323[note],0),1),"glmp",""),IF(AND(G41&lt;&gt;"null",G41&lt;&gt;""),IF(G41=INDEX(Tabel134232323[brp_id],MATCH("GLMP",Tabel134232323[note],0),1),"glmp",""),IF(E41=INDEX(Tabel134232323[ga_id],MATCH("GLMP",Tabel134232323[note],0),1),"glmp","")))</f>
        <v/>
      </c>
      <c r="C41" s="16" t="str">
        <f>IF(AND(F41&lt;&gt;"null",F41&lt;&gt;""),IF(F41=INDEX(Tabel134232323[es_id],MATCH("SKMP",Tabel134232323[note],0),1),"skmp",""),IF(AND(G41&lt;&gt;"null",G41&lt;&gt;""),IF(G41=INDEX(Tabel134232323[brp_id],MATCH("SKMP",Tabel134232323[note],0),1),"skmp",""),IF(E41=INDEX(Tabel134232323[ga_id],MATCH("SKMP",Tabel134232323[note],0),1),"skmp","")))</f>
        <v/>
      </c>
      <c r="D41" s="15" t="s">
        <v>77</v>
      </c>
      <c r="E41" s="31" t="str">
        <f t="shared" si="7"/>
        <v/>
      </c>
      <c r="F41" s="31" t="str">
        <f>IF(B$1="ga",IF(E41="","","null"),IF(OR(B$1="ga_es",B$1="ga_brp_es"),IF(AE$6=0,"",AE$5),IF(B$1="ga_brp",IF(G41="","","null"))))</f>
        <v/>
      </c>
      <c r="G41" s="31" t="str">
        <f>IF(B$1="ga",IF(E41="","","null"),IF(B$1="ga_es",IF(F41="","","null"),IF(B$1="ga_brp",IF(AF$5=0,"",AF$5),IF(F41="","",INDEX(Tabel134232323[brp_id],MATCH(F41,Tabel134232323[es_id],0),1)))))</f>
        <v/>
      </c>
      <c r="H41" s="33" t="str">
        <f t="shared" si="5"/>
        <v/>
      </c>
      <c r="I41" s="9">
        <f t="shared" si="8"/>
        <v>0</v>
      </c>
      <c r="J41" s="9">
        <f ca="1">SUMIFS(INDIRECT(ADDRESS(2,MATCH(D41,$1:$1,0),4,1)&amp;":"&amp;ADDRESS(19,MATCH(D41,$1:$1,0),4,1)),IF(OR(B$1="ga_es",B$1="ga_brp_es"),Tabel134232323[es_id],IF(B$1="ga_brp",Tabel134232323[brp_id],Tabel134232323[ga_id])),IF(OR(B$1="ga_es",B$1="ga_brp_es"),F41,IF(B$1="ga_brp",G41,E41)),IF(B$2="production",Tabel134232323[type],Tabel134232323[settlement_method]),AG$2,Tabel134232323[resolution],"PT15M")</f>
        <v>0</v>
      </c>
      <c r="K41" s="9">
        <f t="shared" si="6"/>
        <v>0</v>
      </c>
      <c r="L41" s="2"/>
      <c r="R41" s="24"/>
      <c r="S41" s="24"/>
      <c r="T41" s="24"/>
      <c r="U41" s="24"/>
      <c r="V41" s="28">
        <f>SUMIFS(Tabel134232323[TotalHour],Tabel134232323[type],"E18",Tabel134232323[resolution],"PT1H")</f>
        <v>0</v>
      </c>
      <c r="W41" s="39" t="s">
        <v>49</v>
      </c>
      <c r="X41" s="40"/>
      <c r="Y41" s="28">
        <f>SUM(Y43:Y46)</f>
        <v>0</v>
      </c>
      <c r="Z41" s="21">
        <f>SUM(Z43:Z46)</f>
        <v>0</v>
      </c>
      <c r="AA41" s="27"/>
      <c r="AB41" s="2"/>
      <c r="AC41" s="2"/>
      <c r="AD41" s="36"/>
      <c r="AE41" s="36" t="str" cm="1">
        <f t="array" ref="AE41">IFERROR(IF($B$2="production",_xlfn.UNIQUE(INDEX(_xlfn._xlws.FILTER(Tabel134232323[[type]:[brp_id]],(Tabel134232323[es_id]=AE25)*(Tabel134232323[type]="E18"),""),,9)),_xlfn.UNIQUE(INDEX(_xlfn._xlws.FILTER(Tabel134232323[[type]:[brp_id]],(Tabel134232323[es_id]=AE25)*(Tabel134232323[settlement_method]=AG$2),""),,9))),"")</f>
        <v/>
      </c>
      <c r="AF41" s="36" t="str" cm="1">
        <f t="array" ref="AF41">IFERROR(IF($B$2="production",_xlfn.UNIQUE(INDEX(_xlfn._xlws.FILTER(Tabel134232323[[type]:[brp_id]],(Tabel134232323[brp_id]=AF26)*(Tabel134232323[type]=$AG$2),""),,10)),_xlfn.UNIQUE(INDEX(_xlfn._xlws.FILTER(Tabel134232323[[type]:[brp_id]],(Tabel134232323[brp_id]=AF26)*(Tabel134232323[settlement_method]=AG$2),""),,10))),"")</f>
        <v/>
      </c>
      <c r="AG41" s="36"/>
      <c r="AH41" s="36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spans="1:92" x14ac:dyDescent="0.25">
      <c r="B42" s="16" t="str">
        <f>IF(AND(F42&lt;&gt;"null",F42&lt;&gt;""),IF(F42=INDEX(Tabel134232323[es_id],MATCH("GLMP",Tabel134232323[note],0),1),"glmp",""),IF(AND(G42&lt;&gt;"null",G42&lt;&gt;""),IF(G42=INDEX(Tabel134232323[brp_id],MATCH("GLMP",Tabel134232323[note],0),1),"glmp",""),IF(E42=INDEX(Tabel134232323[ga_id],MATCH("GLMP",Tabel134232323[note],0),1),"glmp","")))</f>
        <v/>
      </c>
      <c r="C42" s="16" t="str">
        <f>IF(AND(F42&lt;&gt;"null",F42&lt;&gt;""),IF(F42=INDEX(Tabel134232323[es_id],MATCH("SKMP",Tabel134232323[note],0),1),"skmp",""),IF(AND(G42&lt;&gt;"null",G42&lt;&gt;""),IF(G42=INDEX(Tabel134232323[brp_id],MATCH("SKMP",Tabel134232323[note],0),1),"skmp",""),IF(E42=INDEX(Tabel134232323[ga_id],MATCH("SKMP",Tabel134232323[note],0),1),"skmp","")))</f>
        <v/>
      </c>
      <c r="D42" s="15" t="s">
        <v>74</v>
      </c>
      <c r="E42" s="31" t="str">
        <f t="shared" si="7"/>
        <v/>
      </c>
      <c r="F42" s="31" t="str">
        <f>IF(B$1="ga",IF(E42="","","null"),IF(OR(B$1="ga_es",B$1="ga_brp_es"),IF(AE$7=0,"",AE$5),IF(B$1="ga_brp",IF(G42="","","null"))))</f>
        <v/>
      </c>
      <c r="G42" s="31" t="str">
        <f>IF(B$1="ga",IF(E42="","","null"),IF(B$1="ga_es",IF(F42="","","null"),IF(B$1="ga_brp",IF(AF$5=0,"",AF$5),IF(F42="","",INDEX(Tabel134232323[brp_id],MATCH(F42,Tabel134232323[es_id],0),1)))))</f>
        <v/>
      </c>
      <c r="H42" s="33" t="str">
        <f t="shared" si="5"/>
        <v/>
      </c>
      <c r="I42" s="9">
        <f t="shared" si="8"/>
        <v>0</v>
      </c>
      <c r="J42" s="9">
        <f ca="1">SUMIFS(INDIRECT(ADDRESS(2,MATCH(D42,$1:$1,0),4,1)&amp;":"&amp;ADDRESS(19,MATCH(D42,$1:$1,0),4,1)),IF(OR(B$1="ga_es",B$1="ga_brp_es"),Tabel134232323[es_id],IF(B$1="ga_brp",Tabel134232323[brp_id],Tabel134232323[ga_id])),IF(OR(B$1="ga_es",B$1="ga_brp_es"),F42,IF(B$1="ga_brp",G42,E42)),IF(B$2="production",Tabel134232323[type],Tabel134232323[settlement_method]),AG$2,Tabel134232323[resolution],"PT15M")</f>
        <v>0</v>
      </c>
      <c r="K42" s="9">
        <f t="shared" si="6"/>
        <v>0</v>
      </c>
      <c r="L42" s="2"/>
      <c r="R42" s="24"/>
      <c r="S42" s="24"/>
      <c r="T42" s="24"/>
      <c r="U42" s="7" t="s">
        <v>29</v>
      </c>
      <c r="V42" s="22">
        <f>SUMIFS(Tabel134232323[TotalHour],Tabel134232323[type],"E18",Tabel134232323[resolution],"PT1H")/4</f>
        <v>0</v>
      </c>
      <c r="W42" s="7" t="s">
        <v>45</v>
      </c>
      <c r="X42" s="7" t="s">
        <v>46</v>
      </c>
      <c r="Y42" s="7" t="s">
        <v>47</v>
      </c>
      <c r="Z42" s="7" t="s">
        <v>48</v>
      </c>
      <c r="AA42" s="27"/>
      <c r="AB42" s="2"/>
      <c r="AC42" s="2"/>
      <c r="AD42" s="36"/>
      <c r="AE42" s="36" t="str" cm="1">
        <f t="array" ref="AE42">IFERROR(IF($B$2="production",_xlfn.UNIQUE(INDEX(_xlfn._xlws.FILTER(Tabel134232323[[type]:[brp_id]],(Tabel134232323[es_id]=AE26)*(Tabel134232323[type]="E18"),""),,9)),_xlfn.UNIQUE(INDEX(_xlfn._xlws.FILTER(Tabel134232323[[type]:[brp_id]],(Tabel134232323[es_id]=AE26)*(Tabel134232323[settlement_method]=AG$2),""),,9))),"")</f>
        <v/>
      </c>
      <c r="AF42" s="36" t="str" cm="1">
        <f t="array" ref="AF42">IFERROR(IF($B$2="production",_xlfn.UNIQUE(INDEX(_xlfn._xlws.FILTER(Tabel134232323[[type]:[brp_id]],(Tabel134232323[brp_id]=AF27)*(Tabel134232323[type]=$AG$2),""),,10)),_xlfn.UNIQUE(INDEX(_xlfn._xlws.FILTER(Tabel134232323[[type]:[brp_id]],(Tabel134232323[brp_id]=AF27)*(Tabel134232323[settlement_method]=AG$2),""),,10))),"")</f>
        <v/>
      </c>
      <c r="AG42" s="36"/>
      <c r="AH42" s="3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spans="1:92" x14ac:dyDescent="0.25">
      <c r="B43" s="16" t="str">
        <f>IF(AND(F43&lt;&gt;"null",F43&lt;&gt;""),IF(F43=INDEX(Tabel134232323[es_id],MATCH("GLMP",Tabel134232323[note],0),1),"glmp",""),IF(AND(G43&lt;&gt;"null",G43&lt;&gt;""),IF(G43=INDEX(Tabel134232323[brp_id],MATCH("GLMP",Tabel134232323[note],0),1),"glmp",""),IF(E43=INDEX(Tabel134232323[ga_id],MATCH("GLMP",Tabel134232323[note],0),1),"glmp","")))</f>
        <v/>
      </c>
      <c r="C43" s="16" t="str">
        <f>IF(AND(F43&lt;&gt;"null",F43&lt;&gt;""),IF(F43=INDEX(Tabel134232323[es_id],MATCH("SKMP",Tabel134232323[note],0),1),"skmp",""),IF(AND(G43&lt;&gt;"null",G43&lt;&gt;""),IF(G43=INDEX(Tabel134232323[brp_id],MATCH("SKMP",Tabel134232323[note],0),1),"skmp",""),IF(E43=INDEX(Tabel134232323[ga_id],MATCH("SKMP",Tabel134232323[note],0),1),"skmp","")))</f>
        <v/>
      </c>
      <c r="D43" s="15" t="s">
        <v>75</v>
      </c>
      <c r="E43" s="31" t="str">
        <f t="shared" si="7"/>
        <v/>
      </c>
      <c r="F43" s="31" t="str">
        <f>IF(B$1="ga",IF(E43="","","null"),IF(OR(B$1="ga_es",B$1="ga_brp_es"),IF(AE$7=0,"",AE$5),IF(B$1="ga_brp",IF(G43="","","null"))))</f>
        <v/>
      </c>
      <c r="G43" s="31" t="str">
        <f>IF(B$1="ga",IF(E43="","","null"),IF(B$1="ga_es",IF(F43="","","null"),IF(B$1="ga_brp",IF(AF$5=0,"",AF$5),IF(F43="","",INDEX(Tabel134232323[brp_id],MATCH(F43,Tabel134232323[es_id],0),1)))))</f>
        <v/>
      </c>
      <c r="H43" s="33" t="str">
        <f t="shared" si="5"/>
        <v/>
      </c>
      <c r="I43" s="9">
        <f t="shared" si="8"/>
        <v>0</v>
      </c>
      <c r="J43" s="9">
        <f ca="1">SUMIFS(INDIRECT(ADDRESS(2,MATCH(D43,$1:$1,0),4,1)&amp;":"&amp;ADDRESS(19,MATCH(D43,$1:$1,0),4,1)),IF(OR(B$1="ga_es",B$1="ga_brp_es"),Tabel134232323[es_id],IF(B$1="ga_brp",Tabel134232323[brp_id],Tabel134232323[ga_id])),IF(OR(B$1="ga_es",B$1="ga_brp_es"),F43,IF(B$1="ga_brp",G43,E43)),IF(B$2="production",Tabel134232323[type],Tabel134232323[settlement_method]),AG$2,Tabel134232323[resolution],"PT15M")</f>
        <v>0</v>
      </c>
      <c r="K43" s="9">
        <f t="shared" si="6"/>
        <v>0</v>
      </c>
      <c r="L43" s="2"/>
      <c r="R43" s="24"/>
      <c r="S43" s="24"/>
      <c r="T43" s="24"/>
      <c r="U43" s="15" t="s">
        <v>50</v>
      </c>
      <c r="V43" s="19">
        <f>V$42</f>
        <v>0</v>
      </c>
      <c r="W43" s="19">
        <f>V43</f>
        <v>0</v>
      </c>
      <c r="X43" s="19"/>
      <c r="Y43" s="23">
        <f>ROUND(W43, 3)</f>
        <v>0</v>
      </c>
      <c r="Z43" s="23">
        <f>ROUND(V43,3)</f>
        <v>0</v>
      </c>
      <c r="AA43" s="27"/>
      <c r="AB43" s="2"/>
      <c r="AC43" s="2"/>
      <c r="AD43" s="36"/>
      <c r="AE43" s="36" t="str" cm="1">
        <f t="array" ref="AE43">IFERROR(IF($B$2="production",_xlfn.UNIQUE(INDEX(_xlfn._xlws.FILTER(Tabel134232323[[type]:[brp_id]],(Tabel134232323[es_id]=AE27)*(Tabel134232323[type]="E18"),""),,9)),_xlfn.UNIQUE(INDEX(_xlfn._xlws.FILTER(Tabel134232323[[type]:[brp_id]],(Tabel134232323[es_id]=AE27)*(Tabel134232323[settlement_method]=AG$2),""),,9))),"")</f>
        <v/>
      </c>
      <c r="AF43" s="36" t="str" cm="1">
        <f t="array" ref="AF43">IFERROR(IF($B$2="production",_xlfn.UNIQUE(INDEX(_xlfn._xlws.FILTER(Tabel134232323[[type]:[brp_id]],(Tabel134232323[brp_id]=AF28)*(Tabel134232323[type]=$AG$2),""),,10)),_xlfn.UNIQUE(INDEX(_xlfn._xlws.FILTER(Tabel134232323[[type]:[brp_id]],(Tabel134232323[brp_id]=AF28)*(Tabel134232323[settlement_method]=AG$2),""),,10))),"")</f>
        <v/>
      </c>
      <c r="AG43" s="36"/>
      <c r="AH43" s="3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spans="1:92" x14ac:dyDescent="0.25">
      <c r="B44" s="16" t="str">
        <f>IF(AND(F44&lt;&gt;"null",F44&lt;&gt;""),IF(F44=INDEX(Tabel134232323[es_id],MATCH("GLMP",Tabel134232323[note],0),1),"glmp",""),IF(AND(G44&lt;&gt;"null",G44&lt;&gt;""),IF(G44=INDEX(Tabel134232323[brp_id],MATCH("GLMP",Tabel134232323[note],0),1),"glmp",""),IF(E44=INDEX(Tabel134232323[ga_id],MATCH("GLMP",Tabel134232323[note],0),1),"glmp","")))</f>
        <v/>
      </c>
      <c r="C44" s="16" t="str">
        <f>IF(AND(F44&lt;&gt;"null",F44&lt;&gt;""),IF(F44=INDEX(Tabel134232323[es_id],MATCH("SKMP",Tabel134232323[note],0),1),"skmp",""),IF(AND(G44&lt;&gt;"null",G44&lt;&gt;""),IF(G44=INDEX(Tabel134232323[brp_id],MATCH("SKMP",Tabel134232323[note],0),1),"skmp",""),IF(E44=INDEX(Tabel134232323[ga_id],MATCH("SKMP",Tabel134232323[note],0),1),"skmp","")))</f>
        <v/>
      </c>
      <c r="D44" s="15" t="s">
        <v>76</v>
      </c>
      <c r="E44" s="31" t="str">
        <f t="shared" si="7"/>
        <v/>
      </c>
      <c r="F44" s="31" t="str">
        <f>IF(B$1="ga",IF(E44="","","null"),IF(OR(B$1="ga_es",B$1="ga_brp_es"),IF(AE$7=0,"",AE$5),IF(B$1="ga_brp",IF(G44="","","null"))))</f>
        <v/>
      </c>
      <c r="G44" s="31" t="str">
        <f>IF(B$1="ga",IF(E44="","","null"),IF(B$1="ga_es",IF(F44="","","null"),IF(B$1="ga_brp",IF(AF$5=0,"",AF$5),IF(F44="","",INDEX(Tabel134232323[brp_id],MATCH(F44,Tabel134232323[es_id],0),1)))))</f>
        <v/>
      </c>
      <c r="H44" s="33" t="str">
        <f t="shared" si="5"/>
        <v/>
      </c>
      <c r="I44" s="9">
        <f t="shared" si="8"/>
        <v>0</v>
      </c>
      <c r="J44" s="9">
        <f ca="1">SUMIFS(INDIRECT(ADDRESS(2,MATCH(D44,$1:$1,0),4,1)&amp;":"&amp;ADDRESS(19,MATCH(D44,$1:$1,0),4,1)),IF(OR(B$1="ga_es",B$1="ga_brp_es"),Tabel134232323[es_id],IF(B$1="ga_brp",Tabel134232323[brp_id],Tabel134232323[ga_id])),IF(OR(B$1="ga_es",B$1="ga_brp_es"),F44,IF(B$1="ga_brp",G44,E44)),IF(B$2="production",Tabel134232323[type],Tabel134232323[settlement_method]),AG$2,Tabel134232323[resolution],"PT15M")</f>
        <v>0</v>
      </c>
      <c r="K44" s="9">
        <f t="shared" si="6"/>
        <v>0</v>
      </c>
      <c r="L44" s="2"/>
      <c r="R44" s="24"/>
      <c r="S44" s="24"/>
      <c r="T44" s="24"/>
      <c r="U44" s="15" t="s">
        <v>51</v>
      </c>
      <c r="V44" s="19">
        <f>V$42</f>
        <v>0</v>
      </c>
      <c r="W44" s="19">
        <f>X44+W43</f>
        <v>0</v>
      </c>
      <c r="X44" s="19">
        <f>V44-Y43</f>
        <v>0</v>
      </c>
      <c r="Y44" s="23">
        <f>ROUND(W44, 3)</f>
        <v>0</v>
      </c>
      <c r="Z44" s="23">
        <f>ROUND(V44,3)</f>
        <v>0</v>
      </c>
      <c r="AA44" s="27"/>
      <c r="AB44" s="2"/>
      <c r="AC44" s="2"/>
      <c r="AD44" s="36"/>
      <c r="AE44" s="36"/>
      <c r="AF44" s="36"/>
      <c r="AG44" s="36"/>
      <c r="AH44" s="36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spans="1:92" x14ac:dyDescent="0.25">
      <c r="B45" s="16" t="str">
        <f>IF(AND(F45&lt;&gt;"null",F45&lt;&gt;""),IF(F45=INDEX(Tabel134232323[es_id],MATCH("GLMP",Tabel134232323[note],0),1),"glmp",""),IF(AND(G45&lt;&gt;"null",G45&lt;&gt;""),IF(G45=INDEX(Tabel134232323[brp_id],MATCH("GLMP",Tabel134232323[note],0),1),"glmp",""),IF(E45=INDEX(Tabel134232323[ga_id],MATCH("GLMP",Tabel134232323[note],0),1),"glmp","")))</f>
        <v/>
      </c>
      <c r="C45" s="16" t="str">
        <f>IF(AND(F45&lt;&gt;"null",F45&lt;&gt;""),IF(F45=INDEX(Tabel134232323[es_id],MATCH("SKMP",Tabel134232323[note],0),1),"skmp",""),IF(AND(G45&lt;&gt;"null",G45&lt;&gt;""),IF(G45=INDEX(Tabel134232323[brp_id],MATCH("SKMP",Tabel134232323[note],0),1),"skmp",""),IF(E45=INDEX(Tabel134232323[ga_id],MATCH("SKMP",Tabel134232323[note],0),1),"skmp","")))</f>
        <v/>
      </c>
      <c r="D45" s="15" t="s">
        <v>77</v>
      </c>
      <c r="E45" s="31" t="str">
        <f t="shared" si="7"/>
        <v/>
      </c>
      <c r="F45" s="31" t="str">
        <f>IF(B$1="ga",IF(E45="","","null"),IF(OR(B$1="ga_es",B$1="ga_brp_es"),IF(AE$7=0,"",AE$5),IF(B$1="ga_brp",IF(G45="","","null"))))</f>
        <v/>
      </c>
      <c r="G45" s="31" t="str">
        <f>IF(B$1="ga",IF(E45="","","null"),IF(B$1="ga_es",IF(F45="","","null"),IF(B$1="ga_brp",IF(AF$5=0,"",AF$5),IF(F45="","",INDEX(Tabel134232323[brp_id],MATCH(F45,Tabel134232323[es_id],0),1)))))</f>
        <v/>
      </c>
      <c r="H45" s="33" t="str">
        <f t="shared" si="5"/>
        <v/>
      </c>
      <c r="I45" s="9">
        <f t="shared" si="8"/>
        <v>0</v>
      </c>
      <c r="J45" s="9">
        <f ca="1">SUMIFS(INDIRECT(ADDRESS(2,MATCH(D45,$1:$1,0),4,1)&amp;":"&amp;ADDRESS(19,MATCH(D45,$1:$1,0),4,1)),IF(OR(B$1="ga_es",B$1="ga_brp_es"),Tabel134232323[es_id],IF(B$1="ga_brp",Tabel134232323[brp_id],Tabel134232323[ga_id])),IF(OR(B$1="ga_es",B$1="ga_brp_es"),F45,IF(B$1="ga_brp",G45,E45)),IF(B$2="production",Tabel134232323[type],Tabel134232323[settlement_method]),AG$2,Tabel134232323[resolution],"PT15M")</f>
        <v>0</v>
      </c>
      <c r="K45" s="9">
        <f t="shared" si="6"/>
        <v>0</v>
      </c>
      <c r="L45" s="2"/>
      <c r="R45" s="24"/>
      <c r="S45" s="24"/>
      <c r="T45" s="24"/>
      <c r="U45" s="15" t="s">
        <v>52</v>
      </c>
      <c r="V45" s="19">
        <f>V$42</f>
        <v>0</v>
      </c>
      <c r="W45" s="19">
        <f>X45+W44</f>
        <v>0</v>
      </c>
      <c r="X45" s="19">
        <f>V45-Y44</f>
        <v>0</v>
      </c>
      <c r="Y45" s="23">
        <f>ROUND(W45, 3)</f>
        <v>0</v>
      </c>
      <c r="Z45" s="23">
        <f>ROUND(V45,3)</f>
        <v>0</v>
      </c>
      <c r="AA45" s="27"/>
      <c r="AB45" s="2"/>
      <c r="AC45" s="2"/>
      <c r="AD45" s="36"/>
      <c r="AE45" s="36"/>
      <c r="AF45" s="36"/>
      <c r="AG45" s="36"/>
      <c r="AH45" s="36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spans="1:92" ht="23.25" x14ac:dyDescent="0.35">
      <c r="C46" s="2"/>
      <c r="E46" s="44" t="s">
        <v>34</v>
      </c>
      <c r="F46" s="44"/>
      <c r="G46" s="44"/>
      <c r="H46" s="44"/>
      <c r="R46" s="24"/>
      <c r="S46" s="24"/>
      <c r="T46" s="24"/>
      <c r="U46" s="15" t="s">
        <v>53</v>
      </c>
      <c r="V46" s="19">
        <f>V$42</f>
        <v>0</v>
      </c>
      <c r="W46" s="19">
        <f>X46+W45</f>
        <v>0</v>
      </c>
      <c r="X46" s="19">
        <f>V46-Y45</f>
        <v>0</v>
      </c>
      <c r="Y46" s="23">
        <f>ROUND(W46, 3)</f>
        <v>0</v>
      </c>
      <c r="Z46" s="23">
        <f>ROUND(V46,3)</f>
        <v>0</v>
      </c>
      <c r="AA46" s="27"/>
      <c r="AB46" s="2"/>
      <c r="AC46" s="2"/>
      <c r="AD46" s="36"/>
      <c r="AE46" s="36"/>
      <c r="AF46" s="36"/>
      <c r="AG46" s="36"/>
      <c r="AH46" s="3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spans="1:92" ht="18.75" x14ac:dyDescent="0.3">
      <c r="C47" s="2"/>
      <c r="D47" s="4" t="s">
        <v>20</v>
      </c>
      <c r="E47" s="4" t="s">
        <v>18</v>
      </c>
      <c r="F47" s="5" t="s">
        <v>0</v>
      </c>
      <c r="G47" s="5" t="s">
        <v>1</v>
      </c>
      <c r="H47" s="5" t="s">
        <v>2</v>
      </c>
      <c r="R47" s="24"/>
      <c r="S47" s="24"/>
      <c r="T47" s="24"/>
      <c r="U47" s="24"/>
      <c r="V47" s="28">
        <f>SUMIFS(Tabel134232323[TotalHour],Tabel134232323[settlement_method],"E02",Tabel134232323[resolution],"PT1H")</f>
        <v>0</v>
      </c>
      <c r="W47" s="39" t="s">
        <v>49</v>
      </c>
      <c r="X47" s="40"/>
      <c r="Y47" s="28">
        <f>SUM(Y49:Y52)</f>
        <v>0</v>
      </c>
      <c r="Z47" s="21">
        <f>SUM(Z49:Z52)</f>
        <v>0</v>
      </c>
      <c r="AA47" s="27"/>
      <c r="AB47" s="2"/>
      <c r="AC47" s="2"/>
      <c r="AD47" s="36"/>
      <c r="AE47" s="36"/>
      <c r="AF47" s="36"/>
      <c r="AG47" s="36"/>
      <c r="AH47" s="3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spans="1:92" x14ac:dyDescent="0.25">
      <c r="A48" s="2"/>
      <c r="B48" s="2"/>
      <c r="C48" s="2"/>
      <c r="D48" s="8" t="s">
        <v>74</v>
      </c>
      <c r="E48" s="31" t="str">
        <f>$AD$2</f>
        <v>800</v>
      </c>
      <c r="F48" s="31" t="s">
        <v>33</v>
      </c>
      <c r="G48" s="31" t="s">
        <v>33</v>
      </c>
      <c r="H48" s="32">
        <f>powerIn1H_quarter1+powerIn15M_quarter1-powerOut1H_quarter1-powerOut15M_quarter1</f>
        <v>7.625</v>
      </c>
      <c r="I48" s="2"/>
      <c r="R48" s="24"/>
      <c r="S48" s="24"/>
      <c r="T48" s="24"/>
      <c r="U48" s="7" t="s">
        <v>44</v>
      </c>
      <c r="V48" s="9">
        <f>SUMIFS(Tabel134232323[TotalHour],Tabel134232323[settlement_method],"E02",Tabel134232323[resolution],"PT1H")/4</f>
        <v>0</v>
      </c>
      <c r="W48" s="7" t="s">
        <v>45</v>
      </c>
      <c r="X48" s="7" t="s">
        <v>46</v>
      </c>
      <c r="Y48" s="7" t="s">
        <v>47</v>
      </c>
      <c r="Z48" s="7" t="s">
        <v>48</v>
      </c>
      <c r="AA48" s="27"/>
      <c r="AB48" s="2"/>
      <c r="AC48" s="2"/>
      <c r="AD48" s="36"/>
      <c r="AE48" s="36"/>
      <c r="AF48" s="36"/>
      <c r="AG48" s="36"/>
      <c r="AH48" s="36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spans="1:92" x14ac:dyDescent="0.25">
      <c r="A49" s="2"/>
      <c r="B49" s="2"/>
      <c r="C49" s="2"/>
      <c r="D49" s="8" t="s">
        <v>75</v>
      </c>
      <c r="E49" s="31" t="str">
        <f t="shared" ref="E49:E51" si="12">$AD$2</f>
        <v>800</v>
      </c>
      <c r="F49" s="31" t="s">
        <v>33</v>
      </c>
      <c r="G49" s="31" t="s">
        <v>33</v>
      </c>
      <c r="H49" s="32">
        <f>powerIn1H_quarter2+powerIn15M_quarter2-powerOut1H_quarter2-powerOut15M_quarter2</f>
        <v>7.6260000000000003</v>
      </c>
      <c r="I49" s="2"/>
      <c r="R49" s="24"/>
      <c r="S49" s="24"/>
      <c r="T49" s="24"/>
      <c r="U49" s="15" t="s">
        <v>58</v>
      </c>
      <c r="V49" s="19">
        <f>V$48</f>
        <v>0</v>
      </c>
      <c r="W49" s="19">
        <f>V49</f>
        <v>0</v>
      </c>
      <c r="X49" s="19"/>
      <c r="Y49" s="23">
        <f>ROUND(W49, 3)</f>
        <v>0</v>
      </c>
      <c r="Z49" s="23">
        <f>ROUND(V49,3)</f>
        <v>0</v>
      </c>
      <c r="AA49" s="27"/>
      <c r="AB49" s="2"/>
      <c r="AC49" s="2"/>
      <c r="AD49" s="2"/>
      <c r="AE49" s="36"/>
      <c r="AF49" s="36"/>
      <c r="AG49" s="27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spans="1:92" x14ac:dyDescent="0.25">
      <c r="A50" s="2"/>
      <c r="B50" s="2"/>
      <c r="C50" s="2"/>
      <c r="D50" s="8" t="s">
        <v>76</v>
      </c>
      <c r="E50" s="31" t="str">
        <f t="shared" si="12"/>
        <v>800</v>
      </c>
      <c r="F50" s="31" t="s">
        <v>33</v>
      </c>
      <c r="G50" s="31" t="s">
        <v>33</v>
      </c>
      <c r="H50" s="32">
        <f>powerIn1H_quarter3+powerIn15M_quarter3-powerOut1H_quarter3-powerOut15M_quarter3</f>
        <v>7.625</v>
      </c>
      <c r="I50" s="2"/>
      <c r="R50" s="24"/>
      <c r="S50" s="24"/>
      <c r="T50" s="24"/>
      <c r="U50" s="15" t="s">
        <v>59</v>
      </c>
      <c r="V50" s="19">
        <f>V$48</f>
        <v>0</v>
      </c>
      <c r="W50" s="19">
        <f>X50+W49</f>
        <v>0</v>
      </c>
      <c r="X50" s="19">
        <f>V50-Y49</f>
        <v>0</v>
      </c>
      <c r="Y50" s="23">
        <f>ROUND(W50, 3)</f>
        <v>0</v>
      </c>
      <c r="Z50" s="23">
        <f>ROUND(V50,3)</f>
        <v>0</v>
      </c>
      <c r="AA50" s="24"/>
      <c r="AB50" s="2"/>
      <c r="AC50" s="2"/>
      <c r="AD50" s="2"/>
      <c r="AE50" s="2"/>
      <c r="AF50" s="36"/>
      <c r="AG50" s="27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spans="1:92" x14ac:dyDescent="0.25">
      <c r="A51" s="2"/>
      <c r="B51" s="2"/>
      <c r="C51" s="2"/>
      <c r="D51" s="8" t="s">
        <v>77</v>
      </c>
      <c r="E51" s="31" t="str">
        <f t="shared" si="12"/>
        <v>800</v>
      </c>
      <c r="F51" s="31" t="s">
        <v>33</v>
      </c>
      <c r="G51" s="31" t="s">
        <v>33</v>
      </c>
      <c r="H51" s="32">
        <f>powerIn1H_quarter4+powerIn15M_quarter4-powerOut1H_quarter4-powerOut15M_quarter4</f>
        <v>7.625</v>
      </c>
      <c r="I51" s="2"/>
      <c r="R51" s="24"/>
      <c r="S51" s="24"/>
      <c r="T51" s="24"/>
      <c r="U51" s="15" t="s">
        <v>60</v>
      </c>
      <c r="V51" s="19">
        <f>V$48</f>
        <v>0</v>
      </c>
      <c r="W51" s="19">
        <f>X51+W50</f>
        <v>0</v>
      </c>
      <c r="X51" s="19">
        <f>V51-Y50</f>
        <v>0</v>
      </c>
      <c r="Y51" s="23">
        <f>ROUND(W51, 3)</f>
        <v>0</v>
      </c>
      <c r="Z51" s="23">
        <f>ROUND(V51,3)</f>
        <v>0</v>
      </c>
      <c r="AA51" s="24"/>
      <c r="AB51" s="2"/>
      <c r="AC51" s="2"/>
      <c r="AD51" s="2"/>
      <c r="AE51" s="2"/>
      <c r="AF51" s="2"/>
      <c r="AG51" s="27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</row>
    <row r="52" spans="1:92" ht="23.25" x14ac:dyDescent="0.35">
      <c r="A52" s="2"/>
      <c r="B52" s="2"/>
      <c r="C52" s="2"/>
      <c r="E52" s="48" t="s">
        <v>36</v>
      </c>
      <c r="F52" s="49"/>
      <c r="G52" s="49"/>
      <c r="H52" s="50"/>
      <c r="R52" s="24"/>
      <c r="S52" s="24"/>
      <c r="T52" s="24"/>
      <c r="U52" s="15" t="s">
        <v>61</v>
      </c>
      <c r="V52" s="19">
        <f>V$48</f>
        <v>0</v>
      </c>
      <c r="W52" s="19">
        <f>X52+W51</f>
        <v>0</v>
      </c>
      <c r="X52" s="19">
        <f>V52-Y51</f>
        <v>0</v>
      </c>
      <c r="Y52" s="23">
        <f>ROUND(W52, 3)</f>
        <v>0</v>
      </c>
      <c r="Z52" s="23">
        <f>ROUND(V52,3)</f>
        <v>0</v>
      </c>
      <c r="AA52" s="24"/>
      <c r="AB52" s="2"/>
      <c r="AC52" s="2"/>
      <c r="AD52" s="2"/>
      <c r="AE52" s="2"/>
      <c r="AF52" s="2"/>
      <c r="AG52" s="27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</row>
    <row r="53" spans="1:92" ht="18.75" x14ac:dyDescent="0.3">
      <c r="A53" s="2"/>
      <c r="B53" s="2"/>
      <c r="C53" s="2"/>
      <c r="D53" s="4" t="s">
        <v>20</v>
      </c>
      <c r="E53" s="4" t="s">
        <v>18</v>
      </c>
      <c r="F53" s="5" t="s">
        <v>0</v>
      </c>
      <c r="G53" s="5" t="s">
        <v>1</v>
      </c>
      <c r="H53" s="5" t="s">
        <v>2</v>
      </c>
      <c r="R53" s="24"/>
      <c r="S53" s="24"/>
      <c r="T53" s="24"/>
      <c r="U53" s="24"/>
      <c r="V53" s="28">
        <f>ROUND(SUMIFS(Tabel134232323[TotalHour],Tabel134232323[type],"E20",Tabel134232323[resolution],"PT1H",Tabel134232323[to_ga],$AD$2),3)</f>
        <v>30.501000000000001</v>
      </c>
      <c r="W53" s="39" t="s">
        <v>49</v>
      </c>
      <c r="X53" s="40"/>
      <c r="Y53" s="28">
        <f>ROUND(SUM(Y55:Y58),3)</f>
        <v>30.501000000000001</v>
      </c>
      <c r="Z53" s="21">
        <f>SUM(Z55:Z58)</f>
        <v>30.5</v>
      </c>
      <c r="AA53" s="24"/>
      <c r="AB53" s="2"/>
      <c r="AC53" s="2"/>
      <c r="AD53" s="2"/>
      <c r="AE53" s="2"/>
      <c r="AF53" s="2"/>
      <c r="AG53" s="27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</row>
    <row r="54" spans="1:92" x14ac:dyDescent="0.25">
      <c r="A54" s="2"/>
      <c r="B54" s="2"/>
      <c r="C54" s="2"/>
      <c r="D54" s="8" t="s">
        <v>3</v>
      </c>
      <c r="E54" s="31" t="str">
        <f>$AD$2</f>
        <v>800</v>
      </c>
      <c r="F54" s="31" t="s">
        <v>33</v>
      </c>
      <c r="G54" s="31" t="s">
        <v>33</v>
      </c>
      <c r="H54" s="32">
        <f>totalFlex1H_quarter1+totalFlex15M_quarter1</f>
        <v>0.1</v>
      </c>
      <c r="R54" s="24"/>
      <c r="S54" s="24"/>
      <c r="T54" s="24"/>
      <c r="U54" s="6" t="s">
        <v>30</v>
      </c>
      <c r="V54" s="9">
        <f>SUMIFS(Tabel134232323[TotalHour],Tabel134232323[type],"E20",Tabel134232323[resolution],"PT1H",Tabel134232323[to_ga],$AD$2)/4</f>
        <v>7.6252500000000003</v>
      </c>
      <c r="W54" s="7" t="s">
        <v>45</v>
      </c>
      <c r="X54" s="7" t="s">
        <v>46</v>
      </c>
      <c r="Y54" s="7" t="s">
        <v>47</v>
      </c>
      <c r="Z54" s="7" t="s">
        <v>48</v>
      </c>
      <c r="AA54" s="24"/>
      <c r="AB54" s="2"/>
      <c r="AC54" s="2"/>
      <c r="AD54" s="2"/>
      <c r="AE54" s="2"/>
      <c r="AF54" s="2"/>
      <c r="AG54" s="27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</row>
    <row r="55" spans="1:92" x14ac:dyDescent="0.25">
      <c r="A55" s="2"/>
      <c r="B55" s="2"/>
      <c r="C55" s="2"/>
      <c r="D55" s="8" t="s">
        <v>4</v>
      </c>
      <c r="E55" s="31" t="str">
        <f t="shared" ref="E55:E57" si="13">$AD$2</f>
        <v>800</v>
      </c>
      <c r="F55" s="31" t="s">
        <v>33</v>
      </c>
      <c r="G55" s="31" t="s">
        <v>33</v>
      </c>
      <c r="H55" s="32">
        <f>totalFlex1H_quarter2+totalFlex15M_quarter2</f>
        <v>0.2</v>
      </c>
      <c r="R55" s="24"/>
      <c r="S55" s="24"/>
      <c r="T55" s="24"/>
      <c r="U55" s="15" t="s">
        <v>62</v>
      </c>
      <c r="V55" s="19">
        <f>V$54</f>
        <v>7.6252500000000003</v>
      </c>
      <c r="W55" s="19">
        <f>V55</f>
        <v>7.6252500000000003</v>
      </c>
      <c r="X55" s="19"/>
      <c r="Y55" s="23">
        <f>ROUND(W55, 3)</f>
        <v>7.625</v>
      </c>
      <c r="Z55" s="23">
        <f>ROUND(V55,3)</f>
        <v>7.625</v>
      </c>
      <c r="AA55" s="24"/>
      <c r="AB55" s="2"/>
      <c r="AC55" s="2"/>
      <c r="AD55" s="2"/>
      <c r="AE55" s="2"/>
      <c r="AF55" s="2"/>
      <c r="AG55" s="27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</row>
    <row r="56" spans="1:92" x14ac:dyDescent="0.25">
      <c r="A56" s="2"/>
      <c r="B56" s="2"/>
      <c r="C56" s="2"/>
      <c r="D56" s="8" t="s">
        <v>5</v>
      </c>
      <c r="E56" s="31" t="str">
        <f t="shared" si="13"/>
        <v>800</v>
      </c>
      <c r="F56" s="31" t="s">
        <v>33</v>
      </c>
      <c r="G56" s="31" t="s">
        <v>33</v>
      </c>
      <c r="H56" s="32">
        <f>totalFlex1H_quarter3+totalFlex15M_quarter3</f>
        <v>0.3</v>
      </c>
      <c r="R56" s="24"/>
      <c r="S56" s="24"/>
      <c r="T56" s="24"/>
      <c r="U56" s="15" t="s">
        <v>63</v>
      </c>
      <c r="V56" s="19">
        <f>V$54</f>
        <v>7.6252500000000003</v>
      </c>
      <c r="W56" s="19">
        <f>X56+W55</f>
        <v>7.6255000000000006</v>
      </c>
      <c r="X56" s="19">
        <f>V56-Y55</f>
        <v>2.5000000000030553E-4</v>
      </c>
      <c r="Y56" s="23">
        <f>ROUND(W56, 3)</f>
        <v>7.6260000000000003</v>
      </c>
      <c r="Z56" s="23">
        <f>ROUND(V56,3)</f>
        <v>7.625</v>
      </c>
      <c r="AA56" s="24"/>
      <c r="AB56" s="2"/>
      <c r="AC56" s="2"/>
      <c r="AD56" s="2"/>
      <c r="AE56" s="2"/>
      <c r="AF56" s="2"/>
      <c r="AG56" s="27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</row>
    <row r="57" spans="1:92" x14ac:dyDescent="0.25">
      <c r="A57" s="2"/>
      <c r="B57" s="2"/>
      <c r="C57" s="2"/>
      <c r="D57" s="8" t="s">
        <v>6</v>
      </c>
      <c r="E57" s="31" t="str">
        <f t="shared" si="13"/>
        <v>800</v>
      </c>
      <c r="F57" s="31" t="s">
        <v>33</v>
      </c>
      <c r="G57" s="31" t="s">
        <v>33</v>
      </c>
      <c r="H57" s="32">
        <f>totalFlex1H_quarter4+totalFlex15M_quarter4</f>
        <v>0.4</v>
      </c>
      <c r="R57" s="24"/>
      <c r="S57" s="24"/>
      <c r="T57" s="24"/>
      <c r="U57" s="15" t="s">
        <v>64</v>
      </c>
      <c r="V57" s="19">
        <f>V$54</f>
        <v>7.6252500000000003</v>
      </c>
      <c r="W57" s="19">
        <f>X57+W56</f>
        <v>7.6247500000000006</v>
      </c>
      <c r="X57" s="19">
        <f>V57-Y56</f>
        <v>-7.5000000000002842E-4</v>
      </c>
      <c r="Y57" s="23">
        <f>ROUND(W57, 3)</f>
        <v>7.625</v>
      </c>
      <c r="Z57" s="23">
        <f>ROUND(V57,3)</f>
        <v>7.625</v>
      </c>
      <c r="AA57" s="27"/>
      <c r="AB57" s="2"/>
      <c r="AC57" s="2"/>
      <c r="AD57" s="2"/>
      <c r="AE57" s="2"/>
      <c r="AF57" s="2"/>
      <c r="AG57" s="27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</row>
    <row r="58" spans="1:92" ht="23.25" x14ac:dyDescent="0.35">
      <c r="A58" s="2"/>
      <c r="B58" s="2"/>
      <c r="C58" s="2"/>
      <c r="E58" s="48" t="s">
        <v>37</v>
      </c>
      <c r="F58" s="49"/>
      <c r="G58" s="49"/>
      <c r="H58" s="50"/>
      <c r="R58" s="24"/>
      <c r="S58" s="24"/>
      <c r="T58" s="24"/>
      <c r="U58" s="15" t="s">
        <v>65</v>
      </c>
      <c r="V58" s="19">
        <f>V$54</f>
        <v>7.6252500000000003</v>
      </c>
      <c r="W58" s="19">
        <f>X58+W57</f>
        <v>7.6250000000000009</v>
      </c>
      <c r="X58" s="19">
        <f>V58-Y57</f>
        <v>2.5000000000030553E-4</v>
      </c>
      <c r="Y58" s="23">
        <f>ROUND(W58, 3)</f>
        <v>7.625</v>
      </c>
      <c r="Z58" s="23">
        <f>ROUND(V58,3)</f>
        <v>7.625</v>
      </c>
      <c r="AA58" s="27"/>
      <c r="AB58" s="2"/>
      <c r="AC58" s="2"/>
      <c r="AD58" s="2"/>
      <c r="AE58" s="2"/>
      <c r="AF58" s="2"/>
      <c r="AG58" s="27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</row>
    <row r="59" spans="1:92" ht="18.75" x14ac:dyDescent="0.3">
      <c r="A59" s="2"/>
      <c r="B59" s="2"/>
      <c r="C59" s="2"/>
      <c r="D59" s="4" t="s">
        <v>20</v>
      </c>
      <c r="E59" s="4" t="s">
        <v>18</v>
      </c>
      <c r="F59" s="5" t="s">
        <v>0</v>
      </c>
      <c r="G59" s="5" t="s">
        <v>1</v>
      </c>
      <c r="H59" s="5" t="s">
        <v>2</v>
      </c>
      <c r="R59" s="24"/>
      <c r="S59" s="24"/>
      <c r="T59" s="24"/>
      <c r="U59" s="24"/>
      <c r="V59" s="28">
        <f>ROUND(SUMIFS(Tabel134232323[TotalHour],Tabel134232323[type],"E20",Tabel134232323[resolution],"PT1H",Tabel134232323[from_ga],"800"),3)</f>
        <v>0</v>
      </c>
      <c r="W59" s="39" t="s">
        <v>49</v>
      </c>
      <c r="X59" s="40"/>
      <c r="Y59" s="28">
        <f>ROUND(SUM(Y61:Y64),3)</f>
        <v>0</v>
      </c>
      <c r="Z59" s="21">
        <f>SUM(Z61:Z64)</f>
        <v>0</v>
      </c>
      <c r="AA59" s="27"/>
      <c r="AB59" s="2"/>
      <c r="AC59" s="2"/>
      <c r="AD59" s="2"/>
      <c r="AE59" s="2"/>
      <c r="AF59" s="2"/>
      <c r="AG59" s="27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</row>
    <row r="60" spans="1:92" x14ac:dyDescent="0.25">
      <c r="C60" s="2"/>
      <c r="D60" s="8" t="s">
        <v>3</v>
      </c>
      <c r="E60" s="31" t="str">
        <f>$AD$2</f>
        <v>800</v>
      </c>
      <c r="F60" s="31" t="s">
        <v>33</v>
      </c>
      <c r="G60" s="31" t="s">
        <v>33</v>
      </c>
      <c r="H60" s="32">
        <f>totalProduction1H_quarter1+totalProduction15M_quarter1</f>
        <v>1</v>
      </c>
      <c r="R60" s="24"/>
      <c r="S60" s="24"/>
      <c r="T60" s="24"/>
      <c r="U60" s="6" t="s">
        <v>32</v>
      </c>
      <c r="V60" s="9">
        <f>SUMIFS(Tabel134232323[TotalHour],Tabel134232323[type],"E20",Tabel134232323[resolution],"PT1H",Tabel134232323[from_ga],"800")/4</f>
        <v>0</v>
      </c>
      <c r="W60" s="7" t="s">
        <v>45</v>
      </c>
      <c r="X60" s="7" t="s">
        <v>46</v>
      </c>
      <c r="Y60" s="7" t="s">
        <v>47</v>
      </c>
      <c r="Z60" s="7" t="s">
        <v>48</v>
      </c>
      <c r="AA60" s="27"/>
      <c r="AB60" s="2"/>
      <c r="AC60" s="2"/>
      <c r="AD60" s="2"/>
      <c r="AE60" s="2"/>
      <c r="AF60" s="2"/>
      <c r="AG60" s="27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</row>
    <row r="61" spans="1:92" x14ac:dyDescent="0.25">
      <c r="C61" s="2"/>
      <c r="D61" s="8" t="s">
        <v>4</v>
      </c>
      <c r="E61" s="31" t="str">
        <f t="shared" ref="E61:E63" si="14">$AD$2</f>
        <v>800</v>
      </c>
      <c r="F61" s="31" t="s">
        <v>33</v>
      </c>
      <c r="G61" s="31" t="s">
        <v>33</v>
      </c>
      <c r="H61" s="32">
        <f>totalProduction1H_quarter2+totalProduction15M_quarter2</f>
        <v>1</v>
      </c>
      <c r="R61" s="24"/>
      <c r="S61" s="24"/>
      <c r="T61" s="24"/>
      <c r="U61" s="15" t="s">
        <v>66</v>
      </c>
      <c r="V61" s="19">
        <f>V$60</f>
        <v>0</v>
      </c>
      <c r="W61" s="19">
        <f>V61</f>
        <v>0</v>
      </c>
      <c r="X61" s="19"/>
      <c r="Y61" s="23">
        <f>ROUND(W61, 3)</f>
        <v>0</v>
      </c>
      <c r="Z61" s="23">
        <f>ROUND(V61,3)</f>
        <v>0</v>
      </c>
      <c r="AA61" s="27"/>
      <c r="AB61" s="2"/>
      <c r="AC61" s="2"/>
      <c r="AD61" s="2"/>
      <c r="AE61" s="2"/>
      <c r="AF61" s="2"/>
      <c r="AG61" s="27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</row>
    <row r="62" spans="1:92" x14ac:dyDescent="0.25">
      <c r="C62" s="2"/>
      <c r="D62" s="8" t="s">
        <v>5</v>
      </c>
      <c r="E62" s="31" t="str">
        <f t="shared" si="14"/>
        <v>800</v>
      </c>
      <c r="F62" s="31" t="s">
        <v>33</v>
      </c>
      <c r="G62" s="31" t="s">
        <v>33</v>
      </c>
      <c r="H62" s="32">
        <f>totalProduction1H_quarter3+totalProduction15M_quarter3</f>
        <v>1</v>
      </c>
      <c r="R62" s="24"/>
      <c r="S62" s="24"/>
      <c r="T62" s="24"/>
      <c r="U62" s="15" t="s">
        <v>67</v>
      </c>
      <c r="V62" s="19">
        <f>V$60</f>
        <v>0</v>
      </c>
      <c r="W62" s="19">
        <f>X62+W61</f>
        <v>0</v>
      </c>
      <c r="X62" s="19">
        <f>V62-Y61</f>
        <v>0</v>
      </c>
      <c r="Y62" s="23">
        <f>ROUND(W62, 3)</f>
        <v>0</v>
      </c>
      <c r="Z62" s="23">
        <f>ROUND(V62,3)</f>
        <v>0</v>
      </c>
      <c r="AA62" s="27"/>
      <c r="AB62" s="2"/>
      <c r="AC62" s="2"/>
      <c r="AD62" s="2"/>
      <c r="AE62" s="2"/>
      <c r="AF62" s="2"/>
      <c r="AG62" s="27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</row>
    <row r="63" spans="1:92" x14ac:dyDescent="0.25">
      <c r="C63" s="2"/>
      <c r="D63" s="8" t="s">
        <v>6</v>
      </c>
      <c r="E63" s="31" t="str">
        <f t="shared" si="14"/>
        <v>800</v>
      </c>
      <c r="F63" s="31" t="s">
        <v>33</v>
      </c>
      <c r="G63" s="31" t="s">
        <v>33</v>
      </c>
      <c r="H63" s="32">
        <f>totalProduction1H_quarter4+totalProduction15M_quarter4</f>
        <v>1</v>
      </c>
      <c r="R63" s="24"/>
      <c r="S63" s="24"/>
      <c r="T63" s="24"/>
      <c r="U63" s="15" t="s">
        <v>68</v>
      </c>
      <c r="V63" s="19">
        <f>V$60</f>
        <v>0</v>
      </c>
      <c r="W63" s="19">
        <f>X63+W62</f>
        <v>0</v>
      </c>
      <c r="X63" s="19">
        <f>V63-Y62</f>
        <v>0</v>
      </c>
      <c r="Y63" s="23">
        <f>ROUND(W63, 3)</f>
        <v>0</v>
      </c>
      <c r="Z63" s="23">
        <f>ROUND(V63,3)</f>
        <v>0</v>
      </c>
      <c r="AA63" s="27"/>
      <c r="AB63" s="2"/>
      <c r="AC63" s="2"/>
      <c r="AD63" s="2"/>
      <c r="AE63" s="2"/>
      <c r="AF63" s="2"/>
      <c r="AG63" s="27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</row>
    <row r="64" spans="1:92" ht="23.25" x14ac:dyDescent="0.35">
      <c r="C64" s="2"/>
      <c r="E64" s="48" t="s">
        <v>38</v>
      </c>
      <c r="F64" s="49"/>
      <c r="G64" s="49"/>
      <c r="H64" s="50"/>
      <c r="R64" s="24"/>
      <c r="S64" s="24"/>
      <c r="T64" s="24"/>
      <c r="U64" s="15" t="s">
        <v>69</v>
      </c>
      <c r="V64" s="19">
        <f>V$60</f>
        <v>0</v>
      </c>
      <c r="W64" s="19">
        <f>X64+W63</f>
        <v>0</v>
      </c>
      <c r="X64" s="19">
        <f>V64-Y63</f>
        <v>0</v>
      </c>
      <c r="Y64" s="23">
        <f>ROUND(W64, 3)</f>
        <v>0</v>
      </c>
      <c r="Z64" s="23">
        <f>ROUND(V64,3)</f>
        <v>0</v>
      </c>
      <c r="AA64" s="27"/>
      <c r="AB64" s="2"/>
      <c r="AC64" s="2"/>
      <c r="AD64" s="2"/>
      <c r="AE64" s="2"/>
      <c r="AF64" s="2"/>
      <c r="AG64" s="27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</row>
    <row r="65" spans="3:92" ht="18.75" x14ac:dyDescent="0.3">
      <c r="C65" s="2"/>
      <c r="D65" s="4" t="s">
        <v>20</v>
      </c>
      <c r="E65" s="4" t="s">
        <v>18</v>
      </c>
      <c r="F65" s="5" t="s">
        <v>0</v>
      </c>
      <c r="G65" s="5" t="s">
        <v>1</v>
      </c>
      <c r="H65" s="5" t="s">
        <v>2</v>
      </c>
      <c r="R65" s="24"/>
      <c r="S65" s="24"/>
      <c r="T65" s="24"/>
      <c r="U65" s="24"/>
      <c r="V65" s="28">
        <f>ROUND(SUMIFS(Tabel134232323[TotalHour],Tabel134232323[type],"E17",Tabel134232323[resolution],"PT1H"),3)</f>
        <v>0</v>
      </c>
      <c r="W65" s="52" t="s">
        <v>49</v>
      </c>
      <c r="X65" s="53"/>
      <c r="Y65" s="28">
        <f>ROUND(SUM(Y67:Y70),3)</f>
        <v>0</v>
      </c>
      <c r="Z65" s="21">
        <f>SUM(Z67:Z70)</f>
        <v>0</v>
      </c>
      <c r="AA65" s="27"/>
      <c r="AB65" s="2"/>
      <c r="AC65" s="2"/>
      <c r="AD65" s="2"/>
      <c r="AE65" s="2"/>
      <c r="AF65" s="2"/>
      <c r="AG65" s="27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</row>
    <row r="66" spans="3:92" x14ac:dyDescent="0.25">
      <c r="C66" s="2"/>
      <c r="D66" s="8" t="s">
        <v>3</v>
      </c>
      <c r="E66" s="31" t="str">
        <f>$AD$2</f>
        <v>800</v>
      </c>
      <c r="F66" s="31" t="s">
        <v>33</v>
      </c>
      <c r="G66" s="31" t="s">
        <v>33</v>
      </c>
      <c r="H66" s="32">
        <f>totalProduction1H_quarter1+totalProduction15M_quarter1+netEx_quarter1-totalFlex1H_quarter1-totalFlex15M_quarter1-totalNonprofiled1H_quarter1-totalNonprofiled15M_quarter1</f>
        <v>7.5250000000000004</v>
      </c>
      <c r="R66" s="24"/>
      <c r="S66" s="24"/>
      <c r="T66" s="24"/>
      <c r="U66" s="7" t="s">
        <v>27</v>
      </c>
      <c r="V66" s="9">
        <f>SUMIFS(Tabel134232323[TotalHour],Tabel134232323[type],"E17",Tabel134232323[resolution],"PT1H")/4</f>
        <v>0</v>
      </c>
      <c r="W66" s="7" t="s">
        <v>45</v>
      </c>
      <c r="X66" s="7" t="s">
        <v>46</v>
      </c>
      <c r="Y66" s="7" t="s">
        <v>47</v>
      </c>
      <c r="Z66" s="7" t="s">
        <v>48</v>
      </c>
      <c r="AA66" s="27"/>
      <c r="AB66" s="2"/>
      <c r="AC66" s="2"/>
      <c r="AD66" s="2"/>
      <c r="AE66" s="2"/>
      <c r="AF66" s="2"/>
      <c r="AG66" s="27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</row>
    <row r="67" spans="3:92" x14ac:dyDescent="0.25">
      <c r="C67" s="2"/>
      <c r="D67" s="8" t="s">
        <v>4</v>
      </c>
      <c r="E67" s="31" t="str">
        <f t="shared" ref="E67:E69" si="15">$AD$2</f>
        <v>800</v>
      </c>
      <c r="F67" s="31" t="s">
        <v>33</v>
      </c>
      <c r="G67" s="31" t="s">
        <v>33</v>
      </c>
      <c r="H67" s="32">
        <f>totalProduction1H_quarter2+totalProduction15M_quarter2+netEx_quarter2-totalFlex1H_quarter2-totalFlex15M_quarter2-totalNonprofiled1H_quarter2-totalNonprofiled15M_quarter2</f>
        <v>6.4260000000000019</v>
      </c>
      <c r="R67" s="24"/>
      <c r="S67" s="24"/>
      <c r="T67" s="24"/>
      <c r="U67" s="15" t="s">
        <v>70</v>
      </c>
      <c r="V67" s="19">
        <f>V$66</f>
        <v>0</v>
      </c>
      <c r="W67" s="19">
        <f>V67</f>
        <v>0</v>
      </c>
      <c r="X67" s="19"/>
      <c r="Y67" s="23">
        <f>ROUND(W67, 3)</f>
        <v>0</v>
      </c>
      <c r="Z67" s="23">
        <f>ROUND(V67,3)</f>
        <v>0</v>
      </c>
      <c r="AA67" s="27"/>
      <c r="AB67" s="2"/>
      <c r="AC67" s="2"/>
      <c r="AD67" s="2"/>
      <c r="AE67" s="2"/>
      <c r="AF67" s="2"/>
      <c r="AG67" s="27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</row>
    <row r="68" spans="3:92" x14ac:dyDescent="0.25">
      <c r="C68" s="2"/>
      <c r="D68" s="8" t="s">
        <v>5</v>
      </c>
      <c r="E68" s="31" t="str">
        <f t="shared" si="15"/>
        <v>800</v>
      </c>
      <c r="F68" s="31" t="s">
        <v>33</v>
      </c>
      <c r="G68" s="31" t="s">
        <v>33</v>
      </c>
      <c r="H68" s="32">
        <f>totalProduction1H_quarter3+totalProduction15M_quarter3+netEx_quarter3-totalFlex1H_quarter3-totalFlex15M_quarter3-totalNonprofiled1H_quarter3-totalNonprofiled15M_quarter3</f>
        <v>5.3249999999999993</v>
      </c>
      <c r="R68" s="24"/>
      <c r="S68" s="24"/>
      <c r="T68" s="24"/>
      <c r="U68" s="15" t="s">
        <v>71</v>
      </c>
      <c r="V68" s="19">
        <f>V$66</f>
        <v>0</v>
      </c>
      <c r="W68" s="19">
        <f>X68+W67</f>
        <v>0</v>
      </c>
      <c r="X68" s="19">
        <f>V68-Y67</f>
        <v>0</v>
      </c>
      <c r="Y68" s="23">
        <f>ROUND(W68, 3)</f>
        <v>0</v>
      </c>
      <c r="Z68" s="23">
        <f>ROUND(V68,3)</f>
        <v>0</v>
      </c>
      <c r="AA68" s="27"/>
      <c r="AB68" s="2"/>
      <c r="AC68" s="2"/>
      <c r="AD68" s="2"/>
      <c r="AE68" s="2"/>
      <c r="AF68" s="2"/>
      <c r="AG68" s="27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</row>
    <row r="69" spans="3:92" x14ac:dyDescent="0.25">
      <c r="C69" s="2"/>
      <c r="D69" s="8" t="s">
        <v>6</v>
      </c>
      <c r="E69" s="31" t="str">
        <f t="shared" si="15"/>
        <v>800</v>
      </c>
      <c r="F69" s="31" t="s">
        <v>33</v>
      </c>
      <c r="G69" s="31" t="s">
        <v>33</v>
      </c>
      <c r="H69" s="32">
        <f>totalProduction1H_quarter4+totalProduction15M_quarter4+netEx_quarter4-totalFlex1H_quarter4-totalFlex15M_quarter4-totalNonprofiled1H_quarter4-totalNonprofiled15M_quarter4</f>
        <v>-11.775</v>
      </c>
      <c r="J69" s="2"/>
      <c r="R69" s="24"/>
      <c r="S69" s="24"/>
      <c r="T69" s="24"/>
      <c r="U69" s="15" t="s">
        <v>72</v>
      </c>
      <c r="V69" s="19">
        <f>V$66</f>
        <v>0</v>
      </c>
      <c r="W69" s="19">
        <f>X69+W68</f>
        <v>0</v>
      </c>
      <c r="X69" s="19">
        <f>V69-Y68</f>
        <v>0</v>
      </c>
      <c r="Y69" s="23">
        <f>ROUND(W69, 3)</f>
        <v>0</v>
      </c>
      <c r="Z69" s="23">
        <f>ROUND(V69,3)</f>
        <v>0</v>
      </c>
      <c r="AA69" s="27"/>
      <c r="AB69" s="2"/>
      <c r="AC69" s="2"/>
      <c r="AD69" s="2"/>
      <c r="AE69" s="2"/>
      <c r="AF69" s="2"/>
      <c r="AG69" s="27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</row>
    <row r="70" spans="3:92" ht="23.25" x14ac:dyDescent="0.35">
      <c r="C70" s="2"/>
      <c r="E70" s="48" t="s">
        <v>40</v>
      </c>
      <c r="F70" s="49"/>
      <c r="G70" s="49"/>
      <c r="H70" s="50"/>
      <c r="R70" s="24"/>
      <c r="S70" s="24"/>
      <c r="T70" s="27"/>
      <c r="U70" s="15" t="s">
        <v>73</v>
      </c>
      <c r="V70" s="19">
        <f>V$66</f>
        <v>0</v>
      </c>
      <c r="W70" s="19">
        <f>X70+W69</f>
        <v>0</v>
      </c>
      <c r="X70" s="19">
        <f>V70-Y69</f>
        <v>0</v>
      </c>
      <c r="Y70" s="23">
        <f>ROUND(W70, 3)</f>
        <v>0</v>
      </c>
      <c r="Z70" s="23">
        <f>ROUND(V70,3)</f>
        <v>0</v>
      </c>
      <c r="AA70" s="27"/>
      <c r="AB70" s="2"/>
      <c r="AC70" s="2"/>
      <c r="AD70" s="2"/>
      <c r="AE70" s="2"/>
      <c r="AF70" s="2"/>
      <c r="AG70" s="27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</row>
    <row r="71" spans="3:92" ht="18.75" x14ac:dyDescent="0.3">
      <c r="C71" s="2"/>
      <c r="D71" s="4" t="s">
        <v>20</v>
      </c>
      <c r="E71" s="4" t="s">
        <v>18</v>
      </c>
      <c r="F71" s="5" t="s">
        <v>0</v>
      </c>
      <c r="G71" s="5" t="s">
        <v>1</v>
      </c>
      <c r="H71" s="5" t="s">
        <v>2</v>
      </c>
      <c r="R71" s="24"/>
      <c r="S71" s="27"/>
      <c r="T71" s="27"/>
      <c r="U71" s="24"/>
      <c r="V71" s="24"/>
      <c r="W71" s="24"/>
      <c r="X71" s="24"/>
      <c r="Y71" s="24"/>
      <c r="Z71" s="24"/>
      <c r="AA71" s="27"/>
      <c r="AB71" s="2"/>
      <c r="AC71" s="2"/>
      <c r="AD71" s="2"/>
      <c r="AE71" s="2"/>
      <c r="AF71" s="2"/>
      <c r="AG71" s="27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</row>
    <row r="72" spans="3:92" x14ac:dyDescent="0.25">
      <c r="C72" s="2"/>
      <c r="D72" s="15" t="s">
        <v>77</v>
      </c>
      <c r="E72" s="31" t="str">
        <f>$AD$2</f>
        <v>800</v>
      </c>
      <c r="F72" s="31" t="s">
        <v>33</v>
      </c>
      <c r="G72" s="31" t="s">
        <v>33</v>
      </c>
      <c r="H72" s="32">
        <f>IF(gridLoss1H_quarter4&gt;0,gridLoss1H_quarter4,0)</f>
        <v>0</v>
      </c>
      <c r="R72" s="24"/>
      <c r="S72" s="27"/>
      <c r="T72" s="27"/>
      <c r="U72" s="24"/>
      <c r="V72" s="24"/>
      <c r="W72" s="24"/>
      <c r="X72" s="24"/>
      <c r="Y72" s="24"/>
      <c r="Z72" s="24"/>
      <c r="AA72" s="27"/>
      <c r="AB72" s="2"/>
      <c r="AC72" s="2"/>
      <c r="AD72" s="2"/>
      <c r="AE72" s="2"/>
      <c r="AF72" s="2"/>
      <c r="AG72" s="27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</row>
    <row r="73" spans="3:92" x14ac:dyDescent="0.25">
      <c r="C73" s="2"/>
      <c r="D73" s="15" t="s">
        <v>76</v>
      </c>
      <c r="E73" s="31" t="str">
        <f t="shared" ref="E73:E75" si="16">$AD$2</f>
        <v>800</v>
      </c>
      <c r="F73" s="31" t="s">
        <v>33</v>
      </c>
      <c r="G73" s="31" t="s">
        <v>33</v>
      </c>
      <c r="H73" s="32">
        <f>IF(gridLoss1H_quarter3&gt;0,gridLoss1H_quarter3,0)</f>
        <v>5.3249999999999993</v>
      </c>
      <c r="S73" s="2"/>
      <c r="T73" s="2"/>
      <c r="AA73" s="2"/>
      <c r="AB73" s="2"/>
      <c r="AC73" s="2"/>
      <c r="AD73" s="2"/>
      <c r="AE73" s="2"/>
      <c r="AF73" s="2"/>
      <c r="AG73" s="27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</row>
    <row r="74" spans="3:92" x14ac:dyDescent="0.25">
      <c r="C74" s="2"/>
      <c r="D74" s="15" t="s">
        <v>75</v>
      </c>
      <c r="E74" s="31" t="str">
        <f t="shared" si="16"/>
        <v>800</v>
      </c>
      <c r="F74" s="31" t="s">
        <v>33</v>
      </c>
      <c r="G74" s="31" t="s">
        <v>33</v>
      </c>
      <c r="H74" s="32">
        <f>IF(gridLoss1H_quarter2&gt;0,gridLoss1H_quarter2,0)</f>
        <v>6.4260000000000019</v>
      </c>
      <c r="I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7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</row>
    <row r="75" spans="3:92" x14ac:dyDescent="0.25">
      <c r="C75" s="2"/>
      <c r="D75" s="15" t="s">
        <v>74</v>
      </c>
      <c r="E75" s="31" t="str">
        <f t="shared" si="16"/>
        <v>800</v>
      </c>
      <c r="F75" s="31" t="s">
        <v>33</v>
      </c>
      <c r="G75" s="31" t="s">
        <v>33</v>
      </c>
      <c r="H75" s="32">
        <f>IF(gridLoss1H_quarter1&gt;0,gridLoss1H_quarter1,0)</f>
        <v>7.5250000000000004</v>
      </c>
      <c r="I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7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</row>
    <row r="76" spans="3:92" ht="23.25" x14ac:dyDescent="0.35">
      <c r="C76" s="2"/>
      <c r="E76" s="48" t="s">
        <v>41</v>
      </c>
      <c r="F76" s="49"/>
      <c r="G76" s="49"/>
      <c r="H76" s="5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7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</row>
    <row r="77" spans="3:92" ht="18.75" x14ac:dyDescent="0.3">
      <c r="C77" s="2"/>
      <c r="D77" s="4" t="s">
        <v>20</v>
      </c>
      <c r="E77" s="4" t="s">
        <v>18</v>
      </c>
      <c r="F77" s="5" t="s">
        <v>0</v>
      </c>
      <c r="G77" s="5" t="s">
        <v>1</v>
      </c>
      <c r="H77" s="5" t="s">
        <v>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7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</row>
    <row r="78" spans="3:92" x14ac:dyDescent="0.25">
      <c r="C78" s="2"/>
      <c r="D78" s="15" t="s">
        <v>77</v>
      </c>
      <c r="E78" s="31" t="str">
        <f>$AD$2</f>
        <v>800</v>
      </c>
      <c r="F78" s="31" t="s">
        <v>33</v>
      </c>
      <c r="G78" s="31" t="s">
        <v>33</v>
      </c>
      <c r="H78" s="32">
        <f>IF(gridLoss1H_quarter4&lt;0,gridLoss1H_quarter4*-1,0)</f>
        <v>11.775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7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</row>
    <row r="79" spans="3:92" x14ac:dyDescent="0.25">
      <c r="C79" s="2"/>
      <c r="D79" s="15" t="s">
        <v>76</v>
      </c>
      <c r="E79" s="31" t="str">
        <f t="shared" ref="E79:E81" si="17">$AD$2</f>
        <v>800</v>
      </c>
      <c r="F79" s="31" t="s">
        <v>33</v>
      </c>
      <c r="G79" s="31" t="s">
        <v>33</v>
      </c>
      <c r="H79" s="32">
        <f>IF(gridLoss1H_quarter3&lt;0,gridLoss1H_quarter3*-1,0)</f>
        <v>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7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</row>
    <row r="80" spans="3:92" x14ac:dyDescent="0.25">
      <c r="C80" s="2"/>
      <c r="D80" s="15" t="s">
        <v>75</v>
      </c>
      <c r="E80" s="31" t="str">
        <f t="shared" si="17"/>
        <v>800</v>
      </c>
      <c r="F80" s="31" t="s">
        <v>33</v>
      </c>
      <c r="G80" s="31" t="s">
        <v>33</v>
      </c>
      <c r="H80" s="32">
        <f>IF(gridLoss1H_quarter2&lt;0,gridLoss1H_quarter2*-1,0)</f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7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</row>
    <row r="81" spans="3:92" x14ac:dyDescent="0.25">
      <c r="C81" s="2"/>
      <c r="D81" s="15" t="s">
        <v>74</v>
      </c>
      <c r="E81" s="31" t="str">
        <f t="shared" si="17"/>
        <v>800</v>
      </c>
      <c r="F81" s="31" t="s">
        <v>33</v>
      </c>
      <c r="G81" s="31" t="s">
        <v>33</v>
      </c>
      <c r="H81" s="32">
        <f>IF(gridLoss1H_quarter1&lt;0,(gridLoss1H_quarter1)*-1,0)</f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7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</row>
    <row r="82" spans="3:92" ht="23.25" x14ac:dyDescent="0.35">
      <c r="C82" s="2"/>
      <c r="E82" s="48" t="s">
        <v>79</v>
      </c>
      <c r="F82" s="49"/>
      <c r="G82" s="49"/>
      <c r="H82" s="5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7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</row>
    <row r="83" spans="3:92" ht="18.75" x14ac:dyDescent="0.3">
      <c r="C83" s="2"/>
      <c r="D83" s="4" t="s">
        <v>20</v>
      </c>
      <c r="E83" s="4" t="s">
        <v>18</v>
      </c>
      <c r="F83" s="5" t="s">
        <v>0</v>
      </c>
      <c r="G83" s="5" t="s">
        <v>1</v>
      </c>
      <c r="H83" s="5" t="s">
        <v>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7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</row>
    <row r="84" spans="3:92" x14ac:dyDescent="0.25">
      <c r="C84" s="2"/>
      <c r="D84" s="15" t="s">
        <v>74</v>
      </c>
      <c r="E84" s="31" t="str">
        <f>$AD$2</f>
        <v>800</v>
      </c>
      <c r="F84" s="31" t="s">
        <v>33</v>
      </c>
      <c r="G84" s="31" t="s">
        <v>33</v>
      </c>
      <c r="H84" s="32" t="str">
        <f>SUBSTITUTE(netEx_quarter1+totalProduction1H_quarter1+totalProduction15M_quarter1+negGridLossQuarter1,",",".")</f>
        <v>8.625</v>
      </c>
      <c r="I84" s="37"/>
      <c r="J84" s="2"/>
      <c r="U84" s="2"/>
      <c r="V84" s="51" t="s">
        <v>84</v>
      </c>
      <c r="W84" s="51"/>
      <c r="X84" s="51"/>
      <c r="Y84" s="51"/>
      <c r="Z84" s="51"/>
      <c r="AA84" s="2"/>
      <c r="AB84" s="2"/>
      <c r="AC84" s="2"/>
      <c r="AD84" s="2"/>
      <c r="AE84" s="2"/>
      <c r="AF84" s="2"/>
      <c r="AG84" s="27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</row>
    <row r="85" spans="3:92" x14ac:dyDescent="0.25">
      <c r="C85" s="2"/>
      <c r="D85" s="15" t="s">
        <v>75</v>
      </c>
      <c r="E85" s="31" t="str">
        <f t="shared" ref="E85:E87" si="18">$AD$2</f>
        <v>800</v>
      </c>
      <c r="F85" s="31" t="s">
        <v>33</v>
      </c>
      <c r="G85" s="31" t="s">
        <v>33</v>
      </c>
      <c r="H85" s="32" t="str">
        <f>SUBSTITUTE(netEx_quarter2+totalProduction1H_quarter2+totalProduction15M_quarter2+negGridLossQuarter2,",",".")</f>
        <v>8.626</v>
      </c>
      <c r="I85" s="2"/>
      <c r="J85" s="2"/>
      <c r="K85" s="2"/>
      <c r="U85" s="2"/>
      <c r="V85" s="6" t="s">
        <v>14</v>
      </c>
      <c r="W85" s="6" t="s">
        <v>86</v>
      </c>
      <c r="X85" s="6" t="s">
        <v>45</v>
      </c>
      <c r="Y85" s="6" t="s">
        <v>46</v>
      </c>
      <c r="Z85" s="6" t="s">
        <v>47</v>
      </c>
      <c r="AA85" s="2"/>
      <c r="AB85" s="2"/>
      <c r="AC85" s="2"/>
      <c r="AD85" s="2"/>
      <c r="AE85" s="2"/>
      <c r="AF85" s="2"/>
      <c r="AG85" s="27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</row>
    <row r="86" spans="3:92" x14ac:dyDescent="0.25">
      <c r="C86" s="2"/>
      <c r="D86" s="15" t="s">
        <v>76</v>
      </c>
      <c r="E86" s="31" t="str">
        <f t="shared" si="18"/>
        <v>800</v>
      </c>
      <c r="F86" s="31" t="s">
        <v>33</v>
      </c>
      <c r="G86" s="31" t="s">
        <v>33</v>
      </c>
      <c r="H86" s="32" t="str">
        <f>SUBSTITUTE(netEx_quarter3+totalProduction1H_quarter3+totalProduction15M_quarter3+negGridLossQuarter3,",",".")</f>
        <v>8.625</v>
      </c>
      <c r="I86" s="2"/>
      <c r="J86" s="2"/>
      <c r="R86" s="2"/>
      <c r="S86" s="2"/>
      <c r="U86" s="15" t="s">
        <v>74</v>
      </c>
      <c r="V86" s="26" t="e" cm="1">
        <f t="array" aca="1" ref="V86" ca="1">SUMIFS(INDIRECT("Tabel1342323["&amp;U86&amp;"]"),Tabel134232323[resolution],"PT15M",Tabel134232323[from_ga],INDIRECT("AH"&amp;ROUND(ROW()*0.25-19,0)))-SUMIFS(INDIRECT("Tabel1342323["&amp;U86&amp;"]"),Tabel134232323[resolution],"PT15M",Tabel134232323[to_ga],INDIRECT("AH"&amp;ROUND(ROW()*0.25-19,0)))</f>
        <v>#REF!</v>
      </c>
      <c r="W86" s="6">
        <f>(SUMIFS(Tabel134232323[Quarter1],Tabel134232323[resolution],"PT1H",Tabel134232323[from_ga],AH$3)-SUMIFS(Tabel134232323[Quarter1],Tabel134232323[resolution],"PT1H",Tabel134232323[to_ga],AH$3))/4</f>
        <v>7.6252500000000003</v>
      </c>
      <c r="X86" s="16">
        <f>W86</f>
        <v>7.6252500000000003</v>
      </c>
      <c r="Y86" s="16"/>
      <c r="Z86" s="16">
        <f t="shared" ref="Z86:Z109" si="19">ROUND(X86, 3)</f>
        <v>7.625</v>
      </c>
      <c r="AA86" s="2"/>
      <c r="AB86" s="2"/>
      <c r="AC86" s="2"/>
      <c r="AD86" s="2"/>
      <c r="AE86" s="2"/>
      <c r="AF86" s="2"/>
      <c r="AG86" s="27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</row>
    <row r="87" spans="3:92" x14ac:dyDescent="0.25">
      <c r="C87" s="2"/>
      <c r="D87" s="15" t="s">
        <v>77</v>
      </c>
      <c r="E87" s="31" t="str">
        <f t="shared" si="18"/>
        <v>800</v>
      </c>
      <c r="F87" s="34" t="s">
        <v>33</v>
      </c>
      <c r="G87" s="34" t="s">
        <v>33</v>
      </c>
      <c r="H87" s="32" t="str">
        <f>SUBSTITUTE(netEx_quarter4+totalProduction1H_quarter4+totalProduction15M_quarter4+negGridLossQuarter4,",",".")</f>
        <v>20.4</v>
      </c>
      <c r="I87" s="2"/>
      <c r="J87" s="2"/>
      <c r="R87" s="2"/>
      <c r="S87" s="2"/>
      <c r="U87" s="15" t="s">
        <v>75</v>
      </c>
      <c r="V87" s="26" t="e" cm="1">
        <f t="array" aca="1" ref="V87" ca="1">SUMIFS(INDIRECT("Tabel1342323["&amp;U87&amp;"]"),Tabel134232323[resolution],"PT15M",Tabel134232323[from_ga],INDIRECT("AH"&amp;ROUND(ROW()*0.25-19,0)))-SUMIFS(INDIRECT("Tabel1342323["&amp;U87&amp;"]"),Tabel134232323[resolution],"PT15M",Tabel134232323[to_ga],INDIRECT("AH"&amp;ROUND(ROW()*0.25-19,0)))</f>
        <v>#REF!</v>
      </c>
      <c r="W87" s="16">
        <f>W$86</f>
        <v>7.6252500000000003</v>
      </c>
      <c r="X87" s="16">
        <f>Y87+X86</f>
        <v>7.6255000000000006</v>
      </c>
      <c r="Y87" s="16">
        <f>W87-Z86</f>
        <v>2.5000000000030553E-4</v>
      </c>
      <c r="Z87" s="16">
        <f t="shared" si="19"/>
        <v>7.6260000000000003</v>
      </c>
      <c r="AA87" s="2"/>
      <c r="AB87" s="2"/>
      <c r="AC87" s="2"/>
      <c r="AD87" s="2"/>
      <c r="AE87" s="2"/>
      <c r="AF87" s="2"/>
      <c r="AG87" s="27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</row>
    <row r="88" spans="3:92" ht="23.25" x14ac:dyDescent="0.35">
      <c r="C88" s="2"/>
      <c r="E88" s="48" t="s">
        <v>80</v>
      </c>
      <c r="F88" s="49"/>
      <c r="G88" s="49"/>
      <c r="H88" s="49"/>
      <c r="I88" s="50"/>
      <c r="J88" s="2"/>
      <c r="R88" s="2"/>
      <c r="S88" s="2"/>
      <c r="U88" s="15" t="s">
        <v>76</v>
      </c>
      <c r="V88" s="26" t="e" cm="1">
        <f t="array" aca="1" ref="V88" ca="1">SUMIFS(INDIRECT("Tabel1342323["&amp;U88&amp;"]"),Tabel134232323[resolution],"PT15M",Tabel134232323[from_ga],INDIRECT("AH"&amp;ROUND(ROW()*0.25-19,0)))-SUMIFS(INDIRECT("Tabel1342323["&amp;U88&amp;"]"),Tabel134232323[resolution],"PT15M",Tabel134232323[to_ga],INDIRECT("AH"&amp;ROUND(ROW()*0.25-19,0)))</f>
        <v>#REF!</v>
      </c>
      <c r="W88" s="16">
        <f>W$86</f>
        <v>7.6252500000000003</v>
      </c>
      <c r="X88" s="16">
        <f>Y88+X87</f>
        <v>7.6247500000000006</v>
      </c>
      <c r="Y88" s="16">
        <f>W88-Z87</f>
        <v>-7.5000000000002842E-4</v>
      </c>
      <c r="Z88" s="16">
        <f t="shared" si="19"/>
        <v>7.625</v>
      </c>
      <c r="AA88" s="2"/>
      <c r="AB88" s="2"/>
      <c r="AC88" s="2"/>
      <c r="AD88" s="2"/>
      <c r="AE88" s="2"/>
      <c r="AF88" s="2"/>
      <c r="AG88" s="27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</row>
    <row r="89" spans="3:92" ht="18.75" x14ac:dyDescent="0.3">
      <c r="C89" s="2"/>
      <c r="D89" s="4" t="s">
        <v>20</v>
      </c>
      <c r="E89" s="4" t="s">
        <v>18</v>
      </c>
      <c r="F89" s="5" t="s">
        <v>0</v>
      </c>
      <c r="G89" s="5" t="s">
        <v>1</v>
      </c>
      <c r="H89" s="5" t="s">
        <v>2</v>
      </c>
      <c r="I89" s="5" t="s">
        <v>87</v>
      </c>
      <c r="J89" s="2"/>
      <c r="R89" s="2"/>
      <c r="S89" s="2"/>
      <c r="U89" s="15" t="s">
        <v>77</v>
      </c>
      <c r="V89" s="26" t="e" cm="1">
        <f t="array" aca="1" ref="V89" ca="1">SUMIFS(INDIRECT("Tabel1342323["&amp;U89&amp;"]"),Tabel134232323[resolution],"PT15M",Tabel134232323[from_ga],INDIRECT("AH"&amp;ROUND(ROW()*0.25-19,0)))-SUMIFS(INDIRECT("Tabel1342323["&amp;U89&amp;"]"),Tabel134232323[resolution],"PT15M",Tabel134232323[to_ga],INDIRECT("AH"&amp;ROUND(ROW()*0.25-19,0)))</f>
        <v>#REF!</v>
      </c>
      <c r="W89" s="16">
        <f>W$86</f>
        <v>7.6252500000000003</v>
      </c>
      <c r="X89" s="16">
        <f>Y89+X88</f>
        <v>7.6250000000000009</v>
      </c>
      <c r="Y89" s="16">
        <f>W89-Z88</f>
        <v>2.5000000000030553E-4</v>
      </c>
      <c r="Z89" s="16">
        <f t="shared" si="19"/>
        <v>7.625</v>
      </c>
      <c r="AA89" s="2"/>
      <c r="AB89" s="2"/>
      <c r="AC89" s="2"/>
      <c r="AD89" s="2"/>
      <c r="AE89" s="2"/>
      <c r="AF89" s="2"/>
      <c r="AG89" s="27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</row>
    <row r="90" spans="3:92" x14ac:dyDescent="0.25">
      <c r="C90" s="2"/>
      <c r="D90" s="15" t="s">
        <v>74</v>
      </c>
      <c r="E90" s="31" t="str">
        <f t="shared" ref="E90:E113" si="20">IF(AND(ROW()&lt;86+(COUNTA(AH$2:AH$21)*4),ROW()&gt;89),$AH$2,"")</f>
        <v>800</v>
      </c>
      <c r="F90" s="31" t="str">
        <f>IF(E90&lt;&gt;"","null","")</f>
        <v>null</v>
      </c>
      <c r="G90" s="31" t="str">
        <f>IF(E90&lt;&gt;"","null","")</f>
        <v>null</v>
      </c>
      <c r="H90" s="32" t="e">
        <f t="shared" ref="H90:H112" ca="1" si="21">SUBSTITUTE(IF(E90="","",V86+Z86),",",".")</f>
        <v>#REF!</v>
      </c>
      <c r="I90" s="32" t="str" cm="1">
        <f t="array" aca="1" ref="I90" ca="1">IF(E90="","",INDIRECT("AH"&amp;ROUND((ROW()-80)*0.25,0)))</f>
        <v>801</v>
      </c>
      <c r="J90" s="2"/>
      <c r="R90" s="2"/>
      <c r="S90" s="2"/>
      <c r="U90" s="15" t="s">
        <v>74</v>
      </c>
      <c r="V90" s="26" t="e" cm="1">
        <f t="array" aca="1" ref="V90" ca="1">SUMIFS(INDIRECT("Tabel1342323["&amp;U90&amp;"]"),Tabel134232323[resolution],"PT15M",Tabel134232323[from_ga],INDIRECT("AH"&amp;ROUND(ROW()*0.25-19,0)))-SUMIFS(INDIRECT("Tabel1342323["&amp;U90&amp;"]"),Tabel134232323[resolution],"PT15M",Tabel134232323[to_ga],INDIRECT("AH"&amp;ROUND(ROW()*0.25-19,0)))</f>
        <v>#REF!</v>
      </c>
      <c r="W90" s="6">
        <f>(SUMIFS(Tabel134232323[Quarter1],Tabel134232323[resolution],"PT1H",Tabel134232323[from_ga],AH$4)-SUMIFS(Tabel134232323[Quarter1],Tabel134232323[resolution],"PT1H",Tabel134232323[to_ga],AH$4))/4</f>
        <v>0</v>
      </c>
      <c r="X90" s="16">
        <f>W90</f>
        <v>0</v>
      </c>
      <c r="Y90" s="16"/>
      <c r="Z90" s="16">
        <f t="shared" si="19"/>
        <v>0</v>
      </c>
      <c r="AA90" s="2"/>
      <c r="AB90" s="2"/>
      <c r="AC90" s="2"/>
      <c r="AD90" s="2"/>
      <c r="AE90" s="2"/>
      <c r="AF90" s="2"/>
      <c r="AG90" s="27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</row>
    <row r="91" spans="3:92" x14ac:dyDescent="0.25">
      <c r="C91" s="2"/>
      <c r="D91" s="15" t="s">
        <v>75</v>
      </c>
      <c r="E91" s="31" t="str">
        <f t="shared" si="20"/>
        <v>800</v>
      </c>
      <c r="F91" s="31" t="str">
        <f t="shared" ref="F91:F113" si="22">IF(E91&lt;&gt;"","null","")</f>
        <v>null</v>
      </c>
      <c r="G91" s="31" t="str">
        <f t="shared" ref="G91:G113" si="23">IF(E91&lt;&gt;"","null","")</f>
        <v>null</v>
      </c>
      <c r="H91" s="32" t="e">
        <f t="shared" ca="1" si="21"/>
        <v>#REF!</v>
      </c>
      <c r="I91" s="32" t="str" cm="1">
        <f t="array" aca="1" ref="I91" ca="1">IF(E91="","",INDIRECT("AH"&amp;ROUND((ROW()-80)*0.25,0)))</f>
        <v>801</v>
      </c>
      <c r="J91" s="2"/>
      <c r="R91" s="2"/>
      <c r="U91" s="15" t="s">
        <v>75</v>
      </c>
      <c r="V91" s="26" t="e" cm="1">
        <f t="array" aca="1" ref="V91" ca="1">SUMIFS(INDIRECT("Tabel1342323["&amp;U91&amp;"]"),Tabel134232323[resolution],"PT15M",Tabel134232323[from_ga],INDIRECT("AH"&amp;ROUND(ROW()*0.25-19,0)))-SUMIFS(INDIRECT("Tabel1342323["&amp;U91&amp;"]"),Tabel134232323[resolution],"PT15M",Tabel134232323[to_ga],INDIRECT("AH"&amp;ROUND(ROW()*0.25-19,0)))</f>
        <v>#REF!</v>
      </c>
      <c r="W91" s="16">
        <f>W$90</f>
        <v>0</v>
      </c>
      <c r="X91" s="16">
        <f>Y91+X90</f>
        <v>0</v>
      </c>
      <c r="Y91" s="16">
        <f>W91-Z90</f>
        <v>0</v>
      </c>
      <c r="Z91" s="16">
        <f t="shared" si="19"/>
        <v>0</v>
      </c>
      <c r="AA91" s="2"/>
      <c r="AB91" s="2"/>
      <c r="AC91" s="2"/>
      <c r="AD91" s="2"/>
      <c r="AE91" s="2"/>
      <c r="AF91" s="2"/>
      <c r="AG91" s="27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</row>
    <row r="92" spans="3:92" x14ac:dyDescent="0.25">
      <c r="C92" s="2"/>
      <c r="D92" s="15" t="s">
        <v>76</v>
      </c>
      <c r="E92" s="31" t="str">
        <f t="shared" si="20"/>
        <v>800</v>
      </c>
      <c r="F92" s="31" t="str">
        <f t="shared" si="22"/>
        <v>null</v>
      </c>
      <c r="G92" s="31" t="str">
        <f t="shared" si="23"/>
        <v>null</v>
      </c>
      <c r="H92" s="32" t="e">
        <f t="shared" ca="1" si="21"/>
        <v>#REF!</v>
      </c>
      <c r="I92" s="32" t="str" cm="1">
        <f t="array" aca="1" ref="I92" ca="1">IF(E92="","",INDIRECT("AH"&amp;ROUND((ROW()-80)*0.25,0)))</f>
        <v>801</v>
      </c>
      <c r="J92" s="2"/>
      <c r="U92" s="15" t="s">
        <v>76</v>
      </c>
      <c r="V92" s="26" t="e" cm="1">
        <f t="array" aca="1" ref="V92" ca="1">SUMIFS(INDIRECT("Tabel1342323["&amp;U92&amp;"]"),Tabel134232323[resolution],"PT15M",Tabel134232323[from_ga],INDIRECT("AH"&amp;ROUND(ROW()*0.25-19,0)))-SUMIFS(INDIRECT("Tabel1342323["&amp;U92&amp;"]"),Tabel134232323[resolution],"PT15M",Tabel134232323[to_ga],INDIRECT("AH"&amp;ROUND(ROW()*0.25-19,0)))</f>
        <v>#REF!</v>
      </c>
      <c r="W92" s="16">
        <f>W$90</f>
        <v>0</v>
      </c>
      <c r="X92" s="16">
        <f>Y92+X91</f>
        <v>0</v>
      </c>
      <c r="Y92" s="16">
        <f>W92-Z91</f>
        <v>0</v>
      </c>
      <c r="Z92" s="16">
        <f t="shared" si="19"/>
        <v>0</v>
      </c>
      <c r="AA92" s="2"/>
      <c r="AB92" s="2"/>
      <c r="AC92" s="2"/>
      <c r="AD92" s="2"/>
      <c r="AE92" s="2"/>
      <c r="AF92" s="2"/>
      <c r="AG92" s="27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</row>
    <row r="93" spans="3:92" x14ac:dyDescent="0.25">
      <c r="C93" s="2"/>
      <c r="D93" s="15" t="s">
        <v>77</v>
      </c>
      <c r="E93" s="31" t="str">
        <f t="shared" si="20"/>
        <v>800</v>
      </c>
      <c r="F93" s="31" t="str">
        <f t="shared" si="22"/>
        <v>null</v>
      </c>
      <c r="G93" s="31" t="str">
        <f t="shared" si="23"/>
        <v>null</v>
      </c>
      <c r="H93" s="32" t="e">
        <f t="shared" ca="1" si="21"/>
        <v>#REF!</v>
      </c>
      <c r="I93" s="32" t="str" cm="1">
        <f t="array" aca="1" ref="I93" ca="1">IF(E93="","",INDIRECT("AH"&amp;ROUND((ROW()-80)*0.25,0)))</f>
        <v>801</v>
      </c>
      <c r="J93" s="2"/>
      <c r="U93" s="15" t="s">
        <v>77</v>
      </c>
      <c r="V93" s="26" t="e" cm="1">
        <f t="array" aca="1" ref="V93" ca="1">SUMIFS(INDIRECT("Tabel1342323["&amp;U93&amp;"]"),Tabel134232323[resolution],"PT15M",Tabel134232323[from_ga],INDIRECT("AH"&amp;ROUND(ROW()*0.25-19,0)))-SUMIFS(INDIRECT("Tabel1342323["&amp;U93&amp;"]"),Tabel134232323[resolution],"PT15M",Tabel134232323[to_ga],INDIRECT("AH"&amp;ROUND(ROW()*0.25-19,0)))</f>
        <v>#REF!</v>
      </c>
      <c r="W93" s="16">
        <f>W$90</f>
        <v>0</v>
      </c>
      <c r="X93" s="16">
        <f>Y93+X92</f>
        <v>0</v>
      </c>
      <c r="Y93" s="16">
        <f>W93-Z92</f>
        <v>0</v>
      </c>
      <c r="Z93" s="16">
        <f t="shared" si="19"/>
        <v>0</v>
      </c>
      <c r="AA93" s="2"/>
      <c r="AB93" s="2"/>
      <c r="AC93" s="2"/>
      <c r="AD93" s="2"/>
      <c r="AE93" s="2"/>
      <c r="AF93" s="2"/>
      <c r="AG93" s="27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</row>
    <row r="94" spans="3:92" x14ac:dyDescent="0.25">
      <c r="C94" s="2"/>
      <c r="D94" s="15" t="s">
        <v>74</v>
      </c>
      <c r="E94" s="31" t="str">
        <f t="shared" si="20"/>
        <v/>
      </c>
      <c r="F94" s="31" t="str">
        <f t="shared" si="22"/>
        <v/>
      </c>
      <c r="G94" s="31" t="str">
        <f t="shared" si="23"/>
        <v/>
      </c>
      <c r="H94" s="32" t="str">
        <f t="shared" si="21"/>
        <v/>
      </c>
      <c r="I94" s="32" t="str" cm="1">
        <f t="array" aca="1" ref="I94" ca="1">IF(E94="","",INDIRECT("AH"&amp;ROUND((ROW()-80)*0.25,0)))</f>
        <v/>
      </c>
      <c r="J94" s="2"/>
      <c r="U94" s="15" t="s">
        <v>74</v>
      </c>
      <c r="V94" s="26" t="e" cm="1">
        <f t="array" aca="1" ref="V94" ca="1">SUMIFS(INDIRECT("Tabel1342323["&amp;U94&amp;"]"),Tabel134232323[resolution],"PT15M",Tabel134232323[from_ga],INDIRECT("AH"&amp;ROUND(ROW()*0.25-19,0)))-SUMIFS(INDIRECT("Tabel1342323["&amp;U94&amp;"]"),Tabel134232323[resolution],"PT15M",Tabel134232323[to_ga],INDIRECT("AH"&amp;ROUND(ROW()*0.25-19,0)))</f>
        <v>#REF!</v>
      </c>
      <c r="W94" s="6">
        <f>SUMIFS(Tabel134232323[Quarter1],Tabel134232323[resolution],"PT1H",Tabel134232323[from_ga],AH$5)-SUMIFS(Tabel134232323[Quarter1],Tabel134232323[resolution],"PT1H",Tabel134232323[to_ga],AH$5)/4</f>
        <v>0</v>
      </c>
      <c r="X94" s="16">
        <f>W94</f>
        <v>0</v>
      </c>
      <c r="Y94" s="16"/>
      <c r="Z94" s="16">
        <f t="shared" si="19"/>
        <v>0</v>
      </c>
      <c r="AA94" s="2"/>
      <c r="AB94" s="2"/>
      <c r="AC94" s="2"/>
      <c r="AD94" s="2"/>
      <c r="AE94" s="2"/>
      <c r="AF94" s="2"/>
      <c r="AG94" s="27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</row>
    <row r="95" spans="3:92" x14ac:dyDescent="0.25">
      <c r="C95" s="2"/>
      <c r="D95" s="15" t="s">
        <v>75</v>
      </c>
      <c r="E95" s="31" t="str">
        <f t="shared" si="20"/>
        <v/>
      </c>
      <c r="F95" s="31" t="str">
        <f t="shared" si="22"/>
        <v/>
      </c>
      <c r="G95" s="31" t="str">
        <f t="shared" si="23"/>
        <v/>
      </c>
      <c r="H95" s="32" t="str">
        <f t="shared" si="21"/>
        <v/>
      </c>
      <c r="I95" s="32" t="str" cm="1">
        <f t="array" aca="1" ref="I95" ca="1">IF(E95="","",INDIRECT("AH"&amp;ROUND((ROW()-80)*0.25,0)))</f>
        <v/>
      </c>
      <c r="J95" s="2"/>
      <c r="U95" s="15" t="s">
        <v>75</v>
      </c>
      <c r="V95" s="26" t="e" cm="1">
        <f t="array" aca="1" ref="V95" ca="1">SUMIFS(INDIRECT("Tabel1342323["&amp;U95&amp;"]"),Tabel134232323[resolution],"PT15M",Tabel134232323[from_ga],INDIRECT("AH"&amp;ROUND(ROW()*0.25-19,0)))-SUMIFS(INDIRECT("Tabel1342323["&amp;U95&amp;"]"),Tabel134232323[resolution],"PT15M",Tabel134232323[to_ga],INDIRECT("AH"&amp;ROUND(ROW()*0.25-19,0)))</f>
        <v>#REF!</v>
      </c>
      <c r="W95" s="16">
        <f>W$94</f>
        <v>0</v>
      </c>
      <c r="X95" s="16">
        <f>Y95+X94</f>
        <v>0</v>
      </c>
      <c r="Y95" s="16">
        <f>W95-Z94</f>
        <v>0</v>
      </c>
      <c r="Z95" s="16">
        <f t="shared" si="19"/>
        <v>0</v>
      </c>
      <c r="AA95" s="2"/>
      <c r="AB95" s="2"/>
      <c r="AC95" s="2"/>
      <c r="AD95" s="2"/>
      <c r="AE95" s="2"/>
      <c r="AF95" s="2"/>
      <c r="AG95" s="27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spans="3:92" x14ac:dyDescent="0.25">
      <c r="C96" s="2"/>
      <c r="D96" s="15" t="s">
        <v>76</v>
      </c>
      <c r="E96" s="31" t="str">
        <f t="shared" si="20"/>
        <v/>
      </c>
      <c r="F96" s="31" t="str">
        <f t="shared" si="22"/>
        <v/>
      </c>
      <c r="G96" s="31" t="str">
        <f t="shared" si="23"/>
        <v/>
      </c>
      <c r="H96" s="32" t="str">
        <f t="shared" si="21"/>
        <v/>
      </c>
      <c r="I96" s="32" t="str" cm="1">
        <f t="array" aca="1" ref="I96" ca="1">IF(E96="","",INDIRECT("AH"&amp;ROUND((ROW()-80)*0.25,0)))</f>
        <v/>
      </c>
      <c r="J96" s="2"/>
      <c r="U96" s="15" t="s">
        <v>76</v>
      </c>
      <c r="V96" s="26" t="e" cm="1">
        <f t="array" aca="1" ref="V96" ca="1">SUMIFS(INDIRECT("Tabel1342323["&amp;U96&amp;"]"),Tabel134232323[resolution],"PT15M",Tabel134232323[from_ga],INDIRECT("AH"&amp;ROUND(ROW()*0.25-19,0)))-SUMIFS(INDIRECT("Tabel1342323["&amp;U96&amp;"]"),Tabel134232323[resolution],"PT15M",Tabel134232323[to_ga],INDIRECT("AH"&amp;ROUND(ROW()*0.25-19,0)))</f>
        <v>#REF!</v>
      </c>
      <c r="W96" s="16">
        <f>W$94</f>
        <v>0</v>
      </c>
      <c r="X96" s="16">
        <f>Y96+X95</f>
        <v>0</v>
      </c>
      <c r="Y96" s="16">
        <f>W96-Z95</f>
        <v>0</v>
      </c>
      <c r="Z96" s="16">
        <f t="shared" si="19"/>
        <v>0</v>
      </c>
      <c r="AA96" s="2"/>
      <c r="AB96" s="2"/>
      <c r="AC96" s="2"/>
      <c r="AD96" s="2"/>
      <c r="AE96" s="2"/>
      <c r="AF96" s="2"/>
      <c r="AG96" s="27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  <row r="97" spans="3:92" x14ac:dyDescent="0.25">
      <c r="C97" s="2"/>
      <c r="D97" s="15" t="s">
        <v>77</v>
      </c>
      <c r="E97" s="31" t="str">
        <f t="shared" si="20"/>
        <v/>
      </c>
      <c r="F97" s="31" t="str">
        <f t="shared" si="22"/>
        <v/>
      </c>
      <c r="G97" s="31" t="str">
        <f t="shared" si="23"/>
        <v/>
      </c>
      <c r="H97" s="32" t="str">
        <f t="shared" si="21"/>
        <v/>
      </c>
      <c r="I97" s="32" t="str" cm="1">
        <f t="array" aca="1" ref="I97" ca="1">IF(E97="","",INDIRECT("AH"&amp;ROUND((ROW()-80)*0.25,0)))</f>
        <v/>
      </c>
      <c r="J97" s="2"/>
      <c r="U97" s="15" t="s">
        <v>77</v>
      </c>
      <c r="V97" s="26" t="e" cm="1">
        <f t="array" aca="1" ref="V97" ca="1">SUMIFS(INDIRECT("Tabel1342323["&amp;U97&amp;"]"),Tabel134232323[resolution],"PT15M",Tabel134232323[from_ga],INDIRECT("AH"&amp;ROUND(ROW()*0.25-19,0)))-SUMIFS(INDIRECT("Tabel1342323["&amp;U97&amp;"]"),Tabel134232323[resolution],"PT15M",Tabel134232323[to_ga],INDIRECT("AH"&amp;ROUND(ROW()*0.25-19,0)))</f>
        <v>#REF!</v>
      </c>
      <c r="W97" s="16">
        <f>W$94</f>
        <v>0</v>
      </c>
      <c r="X97" s="16">
        <f>Y97+X96</f>
        <v>0</v>
      </c>
      <c r="Y97" s="16">
        <f>W97-Z96</f>
        <v>0</v>
      </c>
      <c r="Z97" s="16">
        <f t="shared" si="19"/>
        <v>0</v>
      </c>
      <c r="AA97" s="2"/>
      <c r="AB97" s="2"/>
      <c r="AC97" s="2"/>
      <c r="AD97" s="2"/>
      <c r="AE97" s="2"/>
      <c r="AF97" s="2"/>
      <c r="AG97" s="27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</row>
    <row r="98" spans="3:92" x14ac:dyDescent="0.25">
      <c r="C98" s="2"/>
      <c r="D98" s="15" t="s">
        <v>74</v>
      </c>
      <c r="E98" s="31" t="str">
        <f t="shared" si="20"/>
        <v/>
      </c>
      <c r="F98" s="31" t="str">
        <f t="shared" si="22"/>
        <v/>
      </c>
      <c r="G98" s="31" t="str">
        <f t="shared" si="23"/>
        <v/>
      </c>
      <c r="H98" s="32" t="str">
        <f t="shared" si="21"/>
        <v/>
      </c>
      <c r="I98" s="32" t="str" cm="1">
        <f t="array" aca="1" ref="I98" ca="1">IF(E98="","",INDIRECT("AH"&amp;ROUND((ROW()-80)*0.25,0)))</f>
        <v/>
      </c>
      <c r="J98" s="2"/>
      <c r="U98" s="15" t="s">
        <v>74</v>
      </c>
      <c r="V98" s="26" t="e" cm="1">
        <f t="array" aca="1" ref="V98" ca="1">SUMIFS(INDIRECT("Tabel1342323["&amp;U98&amp;"]"),Tabel134232323[resolution],"PT15M",Tabel134232323[from_ga],INDIRECT("AH"&amp;ROUND(ROW()*0.25-19,0)))-SUMIFS(INDIRECT("Tabel1342323["&amp;U98&amp;"]"),Tabel134232323[resolution],"PT15M",Tabel134232323[to_ga],INDIRECT("AH"&amp;ROUND(ROW()*0.25-19,0)))</f>
        <v>#REF!</v>
      </c>
      <c r="W98" s="6">
        <f>(SUMIFS(Tabel134232323[Quarter1],Tabel134232323[resolution],"PT1H",Tabel134232323[from_ga],AH$6)-SUMIFS(Tabel134232323[Quarter1],Tabel134232323[resolution],"PT1H",Tabel134232323[to_ga],AH$6))/4</f>
        <v>0</v>
      </c>
      <c r="X98" s="16">
        <f>W98</f>
        <v>0</v>
      </c>
      <c r="Y98" s="16"/>
      <c r="Z98" s="16">
        <f t="shared" si="19"/>
        <v>0</v>
      </c>
      <c r="AA98" s="2"/>
      <c r="AB98" s="2"/>
      <c r="AC98" s="2"/>
      <c r="AD98" s="2"/>
      <c r="AE98" s="2"/>
      <c r="AF98" s="2"/>
      <c r="AG98" s="27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</row>
    <row r="99" spans="3:92" x14ac:dyDescent="0.25">
      <c r="C99" s="2"/>
      <c r="D99" s="15" t="s">
        <v>75</v>
      </c>
      <c r="E99" s="31" t="str">
        <f t="shared" si="20"/>
        <v/>
      </c>
      <c r="F99" s="31" t="str">
        <f t="shared" si="22"/>
        <v/>
      </c>
      <c r="G99" s="31" t="str">
        <f t="shared" si="23"/>
        <v/>
      </c>
      <c r="H99" s="32" t="str">
        <f t="shared" si="21"/>
        <v/>
      </c>
      <c r="I99" s="32" t="str" cm="1">
        <f t="array" aca="1" ref="I99" ca="1">IF(E99="","",INDIRECT("AH"&amp;ROUND((ROW()-80)*0.25,0)))</f>
        <v/>
      </c>
      <c r="J99" s="2"/>
      <c r="U99" s="15" t="s">
        <v>75</v>
      </c>
      <c r="V99" s="26" t="e" cm="1">
        <f t="array" aca="1" ref="V99" ca="1">SUMIFS(INDIRECT("Tabel1342323["&amp;U99&amp;"]"),Tabel134232323[resolution],"PT15M",Tabel134232323[from_ga],INDIRECT("AH"&amp;ROUND(ROW()*0.25-19,0)))-SUMIFS(INDIRECT("Tabel1342323["&amp;U99&amp;"]"),Tabel134232323[resolution],"PT15M",Tabel134232323[to_ga],INDIRECT("AH"&amp;ROUND(ROW()*0.25-19,0)))</f>
        <v>#REF!</v>
      </c>
      <c r="W99" s="16">
        <f>W$98</f>
        <v>0</v>
      </c>
      <c r="X99" s="16">
        <f>Y99+X98</f>
        <v>0</v>
      </c>
      <c r="Y99" s="16">
        <f>W99-Z98</f>
        <v>0</v>
      </c>
      <c r="Z99" s="16">
        <f t="shared" si="19"/>
        <v>0</v>
      </c>
      <c r="AA99" s="2"/>
      <c r="AB99" s="2"/>
      <c r="AC99" s="2"/>
      <c r="AD99" s="2"/>
      <c r="AE99" s="2"/>
      <c r="AF99" s="2"/>
      <c r="AG99" s="27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</row>
    <row r="100" spans="3:92" x14ac:dyDescent="0.25">
      <c r="C100" s="2"/>
      <c r="D100" s="15" t="s">
        <v>76</v>
      </c>
      <c r="E100" s="31" t="str">
        <f t="shared" si="20"/>
        <v/>
      </c>
      <c r="F100" s="31" t="str">
        <f t="shared" si="22"/>
        <v/>
      </c>
      <c r="G100" s="31" t="str">
        <f t="shared" si="23"/>
        <v/>
      </c>
      <c r="H100" s="32" t="str">
        <f t="shared" si="21"/>
        <v/>
      </c>
      <c r="I100" s="32" t="str" cm="1">
        <f t="array" aca="1" ref="I100" ca="1">IF(E100="","",INDIRECT("AH"&amp;ROUND((ROW()-80)*0.25,0)))</f>
        <v/>
      </c>
      <c r="J100" s="2"/>
      <c r="U100" s="15" t="s">
        <v>76</v>
      </c>
      <c r="V100" s="26" t="e" cm="1">
        <f t="array" aca="1" ref="V100" ca="1">SUMIFS(INDIRECT("Tabel1342323["&amp;U100&amp;"]"),Tabel134232323[resolution],"PT15M",Tabel134232323[from_ga],INDIRECT("AH"&amp;ROUND(ROW()*0.25-19,0)))-SUMIFS(INDIRECT("Tabel1342323["&amp;U100&amp;"]"),Tabel134232323[resolution],"PT15M",Tabel134232323[to_ga],INDIRECT("AH"&amp;ROUND(ROW()*0.25-19,0)))</f>
        <v>#REF!</v>
      </c>
      <c r="W100" s="16">
        <f>W$98</f>
        <v>0</v>
      </c>
      <c r="X100" s="16">
        <f>Y100+X99</f>
        <v>0</v>
      </c>
      <c r="Y100" s="16">
        <f>W100-Z99</f>
        <v>0</v>
      </c>
      <c r="Z100" s="16">
        <f t="shared" si="19"/>
        <v>0</v>
      </c>
      <c r="AA100" s="2"/>
      <c r="AB100" s="2"/>
      <c r="AC100" s="2"/>
      <c r="AD100" s="2"/>
      <c r="AE100" s="2"/>
      <c r="AF100" s="2"/>
      <c r="AG100" s="27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</row>
    <row r="101" spans="3:92" x14ac:dyDescent="0.25">
      <c r="C101" s="2"/>
      <c r="D101" s="15" t="s">
        <v>77</v>
      </c>
      <c r="E101" s="31" t="str">
        <f t="shared" si="20"/>
        <v/>
      </c>
      <c r="F101" s="31" t="str">
        <f t="shared" si="22"/>
        <v/>
      </c>
      <c r="G101" s="31" t="str">
        <f t="shared" si="23"/>
        <v/>
      </c>
      <c r="H101" s="32" t="str">
        <f t="shared" si="21"/>
        <v/>
      </c>
      <c r="I101" s="32" t="str" cm="1">
        <f t="array" aca="1" ref="I101" ca="1">IF(E101="","",INDIRECT("AH"&amp;ROUND((ROW()-80)*0.25,0)))</f>
        <v/>
      </c>
      <c r="J101" s="2"/>
      <c r="U101" s="15" t="s">
        <v>77</v>
      </c>
      <c r="V101" s="26" t="e" cm="1">
        <f t="array" aca="1" ref="V101" ca="1">SUMIFS(INDIRECT("Tabel1342323["&amp;U101&amp;"]"),Tabel134232323[resolution],"PT15M",Tabel134232323[from_ga],INDIRECT("AH"&amp;ROUND(ROW()*0.25-19,0)))-SUMIFS(INDIRECT("Tabel1342323["&amp;U101&amp;"]"),Tabel134232323[resolution],"PT15M",Tabel134232323[to_ga],INDIRECT("AH"&amp;ROUND(ROW()*0.25-19,0)))</f>
        <v>#REF!</v>
      </c>
      <c r="W101" s="16">
        <f>W$98</f>
        <v>0</v>
      </c>
      <c r="X101" s="16">
        <f>Y101+X100</f>
        <v>0</v>
      </c>
      <c r="Y101" s="16">
        <f>W101-Z100</f>
        <v>0</v>
      </c>
      <c r="Z101" s="16">
        <f t="shared" si="19"/>
        <v>0</v>
      </c>
      <c r="AA101" s="2"/>
      <c r="AB101" s="2"/>
      <c r="AC101" s="2"/>
      <c r="AD101" s="2"/>
      <c r="AE101" s="2"/>
      <c r="AF101" s="2"/>
      <c r="AG101" s="27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</row>
    <row r="102" spans="3:92" x14ac:dyDescent="0.25">
      <c r="C102" s="2"/>
      <c r="D102" s="15" t="s">
        <v>74</v>
      </c>
      <c r="E102" s="31" t="str">
        <f t="shared" si="20"/>
        <v/>
      </c>
      <c r="F102" s="31" t="str">
        <f t="shared" si="22"/>
        <v/>
      </c>
      <c r="G102" s="31" t="str">
        <f t="shared" si="23"/>
        <v/>
      </c>
      <c r="H102" s="32" t="str">
        <f t="shared" si="21"/>
        <v/>
      </c>
      <c r="I102" s="32" t="str" cm="1">
        <f t="array" aca="1" ref="I102" ca="1">IF(E102="","",INDIRECT("AH"&amp;ROUND((ROW()-80)*0.25,0)))</f>
        <v/>
      </c>
      <c r="J102" s="2"/>
      <c r="U102" s="15" t="s">
        <v>74</v>
      </c>
      <c r="V102" s="26" t="e" cm="1">
        <f t="array" aca="1" ref="V102" ca="1">SUMIFS(INDIRECT("Tabel1342323["&amp;U102&amp;"]"),Tabel134232323[resolution],"PT15M",Tabel134232323[from_ga],INDIRECT("AH"&amp;ROUND(ROW()*0.25-19,0)))-SUMIFS(INDIRECT("Tabel1342323["&amp;U102&amp;"]"),Tabel134232323[resolution],"PT15M",Tabel134232323[to_ga],INDIRECT("AH"&amp;ROUND(ROW()*0.25-19,0)))</f>
        <v>#REF!</v>
      </c>
      <c r="W102" s="6">
        <f>(SUMIFS(Tabel134232323[Quarter1],Tabel134232323[resolution],"PT1H",Tabel134232323[from_ga],AH$7)-SUMIFS(Tabel134232323[Quarter1],Tabel134232323[resolution],"PT1H",Tabel134232323[to_ga],AH$7))/4</f>
        <v>0</v>
      </c>
      <c r="X102" s="16">
        <f>W102</f>
        <v>0</v>
      </c>
      <c r="Y102" s="16"/>
      <c r="Z102" s="16">
        <f t="shared" si="19"/>
        <v>0</v>
      </c>
      <c r="AA102" s="2"/>
      <c r="AB102" s="2"/>
      <c r="AC102" s="2"/>
      <c r="AD102" s="2"/>
      <c r="AE102" s="2"/>
      <c r="AF102" s="2"/>
      <c r="AG102" s="27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</row>
    <row r="103" spans="3:92" x14ac:dyDescent="0.25">
      <c r="C103" s="2"/>
      <c r="D103" s="15" t="s">
        <v>75</v>
      </c>
      <c r="E103" s="31" t="str">
        <f t="shared" si="20"/>
        <v/>
      </c>
      <c r="F103" s="31" t="str">
        <f t="shared" si="22"/>
        <v/>
      </c>
      <c r="G103" s="31" t="str">
        <f t="shared" si="23"/>
        <v/>
      </c>
      <c r="H103" s="32" t="str">
        <f t="shared" si="21"/>
        <v/>
      </c>
      <c r="I103" s="32" t="str" cm="1">
        <f t="array" aca="1" ref="I103" ca="1">IF(E103="","",INDIRECT("AH"&amp;ROUND((ROW()-80)*0.25,0)))</f>
        <v/>
      </c>
      <c r="J103" s="2"/>
      <c r="U103" s="15" t="s">
        <v>75</v>
      </c>
      <c r="V103" s="26" t="e" cm="1">
        <f t="array" aca="1" ref="V103" ca="1">SUMIFS(INDIRECT("Tabel1342323["&amp;U103&amp;"]"),Tabel134232323[resolution],"PT15M",Tabel134232323[from_ga],INDIRECT("AH"&amp;ROUND(ROW()*0.25-19,0)))-SUMIFS(INDIRECT("Tabel1342323["&amp;U103&amp;"]"),Tabel134232323[resolution],"PT15M",Tabel134232323[to_ga],INDIRECT("AH"&amp;ROUND(ROW()*0.25-19,0)))</f>
        <v>#REF!</v>
      </c>
      <c r="W103" s="16">
        <f>W$102</f>
        <v>0</v>
      </c>
      <c r="X103" s="16">
        <f>Y103+X102</f>
        <v>0</v>
      </c>
      <c r="Y103" s="16">
        <f>W103-Z102</f>
        <v>0</v>
      </c>
      <c r="Z103" s="16">
        <f t="shared" si="19"/>
        <v>0</v>
      </c>
      <c r="AA103" s="2"/>
      <c r="AB103" s="2"/>
      <c r="AC103" s="2"/>
      <c r="AD103" s="2"/>
      <c r="AE103" s="2"/>
      <c r="AF103" s="2"/>
      <c r="AG103" s="27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</row>
    <row r="104" spans="3:92" x14ac:dyDescent="0.25">
      <c r="C104" s="2"/>
      <c r="D104" s="15" t="s">
        <v>76</v>
      </c>
      <c r="E104" s="31" t="str">
        <f t="shared" si="20"/>
        <v/>
      </c>
      <c r="F104" s="31" t="str">
        <f t="shared" si="22"/>
        <v/>
      </c>
      <c r="G104" s="31" t="str">
        <f t="shared" si="23"/>
        <v/>
      </c>
      <c r="H104" s="32" t="str">
        <f t="shared" si="21"/>
        <v/>
      </c>
      <c r="I104" s="32" t="str" cm="1">
        <f t="array" aca="1" ref="I104" ca="1">IF(E104="","",INDIRECT("AH"&amp;ROUND((ROW()-80)*0.25,0)))</f>
        <v/>
      </c>
      <c r="J104" s="2"/>
      <c r="U104" s="15" t="s">
        <v>76</v>
      </c>
      <c r="V104" s="26" t="e" cm="1">
        <f t="array" aca="1" ref="V104" ca="1">SUMIFS(INDIRECT("Tabel1342323["&amp;U104&amp;"]"),Tabel134232323[resolution],"PT15M",Tabel134232323[from_ga],INDIRECT("AH"&amp;ROUND(ROW()*0.25-19,0)))-SUMIFS(INDIRECT("Tabel1342323["&amp;U104&amp;"]"),Tabel134232323[resolution],"PT15M",Tabel134232323[to_ga],INDIRECT("AH"&amp;ROUND(ROW()*0.25-19,0)))</f>
        <v>#REF!</v>
      </c>
      <c r="W104" s="16">
        <f>W$102</f>
        <v>0</v>
      </c>
      <c r="X104" s="16">
        <f>Y104+X103</f>
        <v>0</v>
      </c>
      <c r="Y104" s="16">
        <f>W104-Z103</f>
        <v>0</v>
      </c>
      <c r="Z104" s="16">
        <f t="shared" si="19"/>
        <v>0</v>
      </c>
      <c r="AA104" s="2"/>
      <c r="AB104" s="2"/>
      <c r="AC104" s="2"/>
      <c r="AD104" s="2"/>
      <c r="AE104" s="2"/>
      <c r="AF104" s="2"/>
      <c r="AG104" s="27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</row>
    <row r="105" spans="3:92" x14ac:dyDescent="0.25">
      <c r="C105" s="2"/>
      <c r="D105" s="15" t="s">
        <v>77</v>
      </c>
      <c r="E105" s="31" t="str">
        <f t="shared" si="20"/>
        <v/>
      </c>
      <c r="F105" s="31" t="str">
        <f t="shared" si="22"/>
        <v/>
      </c>
      <c r="G105" s="31" t="str">
        <f t="shared" si="23"/>
        <v/>
      </c>
      <c r="H105" s="32" t="str">
        <f t="shared" si="21"/>
        <v/>
      </c>
      <c r="I105" s="32" t="str" cm="1">
        <f t="array" aca="1" ref="I105" ca="1">IF(E105="","",INDIRECT("AH"&amp;ROUND((ROW()-80)*0.25,0)))</f>
        <v/>
      </c>
      <c r="J105" s="2"/>
      <c r="U105" s="15" t="s">
        <v>77</v>
      </c>
      <c r="V105" s="26" t="e" cm="1">
        <f t="array" aca="1" ref="V105" ca="1">SUMIFS(INDIRECT("Tabel1342323["&amp;U105&amp;"]"),Tabel134232323[resolution],"PT15M",Tabel134232323[from_ga],INDIRECT("AH"&amp;ROUND(ROW()*0.25-19,0)))-SUMIFS(INDIRECT("Tabel1342323["&amp;U105&amp;"]"),Tabel134232323[resolution],"PT15M",Tabel134232323[to_ga],INDIRECT("AH"&amp;ROUND(ROW()*0.25-19,0)))</f>
        <v>#REF!</v>
      </c>
      <c r="W105" s="16">
        <f>W$102</f>
        <v>0</v>
      </c>
      <c r="X105" s="16">
        <f>Y105+X104</f>
        <v>0</v>
      </c>
      <c r="Y105" s="16">
        <f>W105-Z104</f>
        <v>0</v>
      </c>
      <c r="Z105" s="16">
        <f t="shared" si="19"/>
        <v>0</v>
      </c>
      <c r="AA105" s="2"/>
      <c r="AB105" s="2"/>
      <c r="AC105" s="2"/>
      <c r="AD105" s="2"/>
      <c r="AE105" s="2"/>
      <c r="AF105" s="2"/>
      <c r="AG105" s="27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</row>
    <row r="106" spans="3:92" x14ac:dyDescent="0.25">
      <c r="C106" s="2"/>
      <c r="D106" s="15" t="s">
        <v>74</v>
      </c>
      <c r="E106" s="31" t="str">
        <f t="shared" si="20"/>
        <v/>
      </c>
      <c r="F106" s="31" t="str">
        <f t="shared" si="22"/>
        <v/>
      </c>
      <c r="G106" s="31" t="str">
        <f t="shared" si="23"/>
        <v/>
      </c>
      <c r="H106" s="32" t="str">
        <f t="shared" si="21"/>
        <v/>
      </c>
      <c r="I106" s="32" t="str" cm="1">
        <f t="array" aca="1" ref="I106" ca="1">IF(E106="","",INDIRECT("AH"&amp;ROUND((ROW()-80)*0.25,0)))</f>
        <v/>
      </c>
      <c r="J106" s="2"/>
      <c r="U106" s="15" t="s">
        <v>74</v>
      </c>
      <c r="V106" s="26" t="e" cm="1">
        <f t="array" aca="1" ref="V106" ca="1">SUMIFS(INDIRECT("Tabel1342323["&amp;U106&amp;"]"),Tabel134232323[resolution],"PT15M",Tabel134232323[from_ga],INDIRECT("AH"&amp;ROUND(ROW()*0.25-19,0)))-SUMIFS(INDIRECT("Tabel1342323["&amp;U106&amp;"]"),Tabel134232323[resolution],"PT15M",Tabel134232323[to_ga],INDIRECT("AH"&amp;ROUND(ROW()*0.25-19,0)))</f>
        <v>#REF!</v>
      </c>
      <c r="W106" s="6">
        <f>(SUMIFS(Tabel134232323[Quarter1],Tabel134232323[resolution],"PT1H",Tabel134232323[from_ga],AH$8)-SUMIFS(Tabel134232323[Quarter1],Tabel134232323[resolution],"PT1H",Tabel134232323[to_ga],AH$8))/4</f>
        <v>0</v>
      </c>
      <c r="X106" s="16">
        <f>W106</f>
        <v>0</v>
      </c>
      <c r="Y106" s="16"/>
      <c r="Z106" s="16">
        <f t="shared" si="19"/>
        <v>0</v>
      </c>
      <c r="AA106" s="2"/>
      <c r="AB106" s="2"/>
      <c r="AC106" s="2"/>
      <c r="AD106" s="2"/>
      <c r="AE106" s="2"/>
      <c r="AF106" s="2"/>
      <c r="AG106" s="27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</row>
    <row r="107" spans="3:92" x14ac:dyDescent="0.25">
      <c r="C107" s="2"/>
      <c r="D107" s="15" t="s">
        <v>75</v>
      </c>
      <c r="E107" s="31" t="str">
        <f t="shared" si="20"/>
        <v/>
      </c>
      <c r="F107" s="31" t="str">
        <f t="shared" si="22"/>
        <v/>
      </c>
      <c r="G107" s="31" t="str">
        <f t="shared" si="23"/>
        <v/>
      </c>
      <c r="H107" s="32" t="str">
        <f t="shared" si="21"/>
        <v/>
      </c>
      <c r="I107" s="32" t="str" cm="1">
        <f t="array" aca="1" ref="I107" ca="1">IF(E107="","",INDIRECT("AH"&amp;ROUND((ROW()-80)*0.25,0)))</f>
        <v/>
      </c>
      <c r="J107" s="2"/>
      <c r="U107" s="15" t="s">
        <v>75</v>
      </c>
      <c r="V107" s="26" t="e" cm="1">
        <f t="array" aca="1" ref="V107" ca="1">SUMIFS(INDIRECT("Tabel1342323["&amp;U107&amp;"]"),Tabel134232323[resolution],"PT15M",Tabel134232323[from_ga],INDIRECT("AH"&amp;ROUND(ROW()*0.25-19,0)))-SUMIFS(INDIRECT("Tabel1342323["&amp;U107&amp;"]"),Tabel134232323[resolution],"PT15M",Tabel134232323[to_ga],INDIRECT("AH"&amp;ROUND(ROW()*0.25-19,0)))</f>
        <v>#REF!</v>
      </c>
      <c r="W107" s="16">
        <f>W$106</f>
        <v>0</v>
      </c>
      <c r="X107" s="16">
        <f>Y107+X106</f>
        <v>0</v>
      </c>
      <c r="Y107" s="16">
        <f>W107-Z106</f>
        <v>0</v>
      </c>
      <c r="Z107" s="16">
        <f t="shared" si="19"/>
        <v>0</v>
      </c>
      <c r="AA107" s="2"/>
      <c r="AB107" s="2"/>
      <c r="AC107" s="2"/>
      <c r="AD107" s="2"/>
      <c r="AE107" s="2"/>
      <c r="AF107" s="2"/>
      <c r="AG107" s="27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</row>
    <row r="108" spans="3:92" x14ac:dyDescent="0.25">
      <c r="C108" s="2"/>
      <c r="D108" s="15" t="s">
        <v>76</v>
      </c>
      <c r="E108" s="31" t="str">
        <f t="shared" si="20"/>
        <v/>
      </c>
      <c r="F108" s="31" t="str">
        <f t="shared" si="22"/>
        <v/>
      </c>
      <c r="G108" s="31" t="str">
        <f t="shared" si="23"/>
        <v/>
      </c>
      <c r="H108" s="32" t="str">
        <f t="shared" si="21"/>
        <v/>
      </c>
      <c r="I108" s="32" t="str" cm="1">
        <f t="array" aca="1" ref="I108" ca="1">IF(E108="","",INDIRECT("AH"&amp;ROUND((ROW()-80)*0.25,0)))</f>
        <v/>
      </c>
      <c r="J108" s="2"/>
      <c r="U108" s="15" t="s">
        <v>76</v>
      </c>
      <c r="V108" s="26" t="e" cm="1">
        <f t="array" aca="1" ref="V108" ca="1">SUMIFS(INDIRECT("Tabel1342323["&amp;U108&amp;"]"),Tabel134232323[resolution],"PT15M",Tabel134232323[from_ga],INDIRECT("AH"&amp;ROUND(ROW()*0.25-19,0)))-SUMIFS(INDIRECT("Tabel1342323["&amp;U108&amp;"]"),Tabel134232323[resolution],"PT15M",Tabel134232323[to_ga],INDIRECT("AH"&amp;ROUND(ROW()*0.25-19,0)))</f>
        <v>#REF!</v>
      </c>
      <c r="W108" s="16">
        <f>W$106</f>
        <v>0</v>
      </c>
      <c r="X108" s="16">
        <f>Y108+X107</f>
        <v>0</v>
      </c>
      <c r="Y108" s="16">
        <f>W108-Z107</f>
        <v>0</v>
      </c>
      <c r="Z108" s="16">
        <f t="shared" si="19"/>
        <v>0</v>
      </c>
      <c r="AA108" s="2"/>
      <c r="AB108" s="2"/>
      <c r="AC108" s="2"/>
      <c r="AD108" s="2"/>
      <c r="AE108" s="2"/>
      <c r="AF108" s="2"/>
      <c r="AG108" s="27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</row>
    <row r="109" spans="3:92" x14ac:dyDescent="0.25">
      <c r="C109" s="2"/>
      <c r="D109" s="15" t="s">
        <v>77</v>
      </c>
      <c r="E109" s="31" t="str">
        <f t="shared" si="20"/>
        <v/>
      </c>
      <c r="F109" s="31" t="str">
        <f t="shared" si="22"/>
        <v/>
      </c>
      <c r="G109" s="31" t="str">
        <f t="shared" si="23"/>
        <v/>
      </c>
      <c r="H109" s="32" t="str">
        <f t="shared" si="21"/>
        <v/>
      </c>
      <c r="I109" s="32" t="str" cm="1">
        <f t="array" aca="1" ref="I109" ca="1">IF(E109="","",INDIRECT("AH"&amp;ROUND((ROW()-80)*0.25,0)))</f>
        <v/>
      </c>
      <c r="J109" s="2"/>
      <c r="U109" s="15" t="s">
        <v>77</v>
      </c>
      <c r="V109" s="26" t="e" cm="1">
        <f t="array" aca="1" ref="V109" ca="1">SUMIFS(INDIRECT("Tabel1342323["&amp;U109&amp;"]"),Tabel134232323[resolution],"PT15M",Tabel134232323[from_ga],INDIRECT("AH"&amp;ROUND(ROW()*0.25-19,0)))-SUMIFS(INDIRECT("Tabel1342323["&amp;U109&amp;"]"),Tabel134232323[resolution],"PT15M",Tabel134232323[to_ga],INDIRECT("AH"&amp;ROUND(ROW()*0.25-19,0)))</f>
        <v>#REF!</v>
      </c>
      <c r="W109" s="16">
        <f>W$106</f>
        <v>0</v>
      </c>
      <c r="X109" s="16">
        <f>Y109+X108</f>
        <v>0</v>
      </c>
      <c r="Y109" s="16">
        <f>W109-Z108</f>
        <v>0</v>
      </c>
      <c r="Z109" s="16">
        <f t="shared" si="19"/>
        <v>0</v>
      </c>
      <c r="AA109" s="2"/>
      <c r="AB109" s="2"/>
      <c r="AC109" s="2"/>
      <c r="AD109" s="2"/>
      <c r="AE109" s="2"/>
      <c r="AF109" s="2"/>
      <c r="AG109" s="27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</row>
    <row r="110" spans="3:92" x14ac:dyDescent="0.25">
      <c r="C110" s="2"/>
      <c r="D110" s="15" t="s">
        <v>74</v>
      </c>
      <c r="E110" s="31" t="str">
        <f t="shared" si="20"/>
        <v/>
      </c>
      <c r="F110" s="31" t="str">
        <f t="shared" si="22"/>
        <v/>
      </c>
      <c r="G110" s="31" t="str">
        <f t="shared" si="23"/>
        <v/>
      </c>
      <c r="H110" s="32" t="str">
        <f t="shared" si="21"/>
        <v/>
      </c>
      <c r="I110" s="32" t="str" cm="1">
        <f t="array" aca="1" ref="I110" ca="1">IF(E110="","",INDIRECT("AH"&amp;ROUND((ROW()-80)*0.25,0)))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7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</row>
    <row r="111" spans="3:92" x14ac:dyDescent="0.25">
      <c r="C111" s="2"/>
      <c r="D111" s="15" t="s">
        <v>75</v>
      </c>
      <c r="E111" s="31" t="str">
        <f t="shared" si="20"/>
        <v/>
      </c>
      <c r="F111" s="31" t="str">
        <f t="shared" si="22"/>
        <v/>
      </c>
      <c r="G111" s="31" t="str">
        <f t="shared" si="23"/>
        <v/>
      </c>
      <c r="H111" s="32" t="str">
        <f t="shared" si="21"/>
        <v/>
      </c>
      <c r="I111" s="32" t="str" cm="1">
        <f t="array" aca="1" ref="I111" ca="1">IF(E111="","",INDIRECT("AH"&amp;ROUND((ROW()-80)*0.25,0)))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7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</row>
    <row r="112" spans="3:92" x14ac:dyDescent="0.25">
      <c r="C112" s="2"/>
      <c r="D112" s="15" t="s">
        <v>76</v>
      </c>
      <c r="E112" s="31" t="str">
        <f t="shared" si="20"/>
        <v/>
      </c>
      <c r="F112" s="31" t="str">
        <f t="shared" si="22"/>
        <v/>
      </c>
      <c r="G112" s="31" t="str">
        <f t="shared" si="23"/>
        <v/>
      </c>
      <c r="H112" s="32" t="str">
        <f t="shared" si="21"/>
        <v/>
      </c>
      <c r="I112" s="32" t="str" cm="1">
        <f t="array" aca="1" ref="I112" ca="1">IF(E112="","",INDIRECT("AH"&amp;ROUND((ROW()-80)*0.25,0)))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7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</row>
    <row r="113" spans="3:92" x14ac:dyDescent="0.25">
      <c r="C113" s="2"/>
      <c r="D113" s="15" t="s">
        <v>77</v>
      </c>
      <c r="E113" s="31" t="str">
        <f t="shared" si="20"/>
        <v/>
      </c>
      <c r="F113" s="31" t="str">
        <f t="shared" si="22"/>
        <v/>
      </c>
      <c r="G113" s="31" t="str">
        <f t="shared" si="23"/>
        <v/>
      </c>
      <c r="H113" s="32" t="str">
        <f>SUBSTITUTE(IF(E113="","",V109+Z109),",",".")</f>
        <v/>
      </c>
      <c r="I113" s="32" t="str" cm="1">
        <f t="array" aca="1" ref="I113" ca="1">IF(E113="","",INDIRECT("AH"&amp;ROUND((ROW()-80)*0.25,0)))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7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</row>
    <row r="114" spans="3:92" x14ac:dyDescent="0.25">
      <c r="C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7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</row>
    <row r="115" spans="3:92" x14ac:dyDescent="0.25">
      <c r="C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7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</row>
    <row r="116" spans="3:92" x14ac:dyDescent="0.25">
      <c r="C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7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</row>
    <row r="117" spans="3:92" x14ac:dyDescent="0.25">
      <c r="C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7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</row>
    <row r="118" spans="3:92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7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</row>
    <row r="119" spans="3:92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7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</row>
    <row r="120" spans="3:92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7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</row>
    <row r="121" spans="3:92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7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</row>
    <row r="122" spans="3:92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7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</row>
    <row r="123" spans="3:92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7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</row>
    <row r="124" spans="3:92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7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</row>
    <row r="125" spans="3:92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7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</row>
    <row r="126" spans="3:92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7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</row>
    <row r="127" spans="3:92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7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</row>
    <row r="128" spans="3:92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7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</row>
    <row r="129" spans="3:92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7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</row>
    <row r="130" spans="3:92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7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</row>
    <row r="131" spans="3:92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7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</row>
    <row r="132" spans="3:92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7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</row>
    <row r="133" spans="3:92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7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</row>
    <row r="134" spans="3:92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7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</row>
    <row r="135" spans="3:92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7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</row>
    <row r="136" spans="3:92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7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</row>
    <row r="137" spans="3:92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7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</row>
    <row r="138" spans="3:92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7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</row>
    <row r="139" spans="3:92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7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</row>
    <row r="140" spans="3:92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7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</row>
    <row r="141" spans="3:92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7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</row>
    <row r="142" spans="3:92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7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</row>
    <row r="143" spans="3:92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7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</row>
    <row r="144" spans="3:92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7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</row>
    <row r="145" spans="3:92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7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</row>
    <row r="146" spans="3:92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7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</row>
    <row r="147" spans="3:92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7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</row>
    <row r="148" spans="3:92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7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</row>
    <row r="149" spans="3:92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7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</row>
    <row r="150" spans="3:92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7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</row>
    <row r="151" spans="3:92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7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</row>
    <row r="152" spans="3:92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7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</row>
    <row r="153" spans="3:92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7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</row>
    <row r="154" spans="3:92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7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</row>
    <row r="155" spans="3:92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7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</row>
    <row r="156" spans="3:92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7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</row>
    <row r="157" spans="3:92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7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</row>
    <row r="158" spans="3:92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7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</row>
    <row r="159" spans="3:92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7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</row>
    <row r="160" spans="3:92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7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</row>
    <row r="161" spans="3:92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7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</row>
    <row r="162" spans="3:92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7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</row>
    <row r="163" spans="3:92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7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</row>
    <row r="164" spans="3:92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7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</row>
    <row r="165" spans="3:92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7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</row>
    <row r="166" spans="3:92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7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</row>
    <row r="167" spans="3:92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7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</row>
    <row r="168" spans="3:92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7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</row>
    <row r="169" spans="3:92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7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</row>
    <row r="170" spans="3:92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7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</row>
    <row r="171" spans="3:92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7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</row>
    <row r="172" spans="3:92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7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</row>
    <row r="173" spans="3:92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7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</row>
    <row r="174" spans="3:92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7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</row>
    <row r="175" spans="3:92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7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</row>
    <row r="176" spans="3:92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7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</row>
    <row r="177" spans="3:92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7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</row>
    <row r="178" spans="3:92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7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</row>
    <row r="179" spans="3:92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7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</row>
    <row r="180" spans="3:92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7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</row>
    <row r="181" spans="3:92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7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</row>
    <row r="182" spans="3:92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7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</row>
    <row r="183" spans="3:92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7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</row>
    <row r="184" spans="3:92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7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</row>
    <row r="185" spans="3:92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7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</row>
    <row r="186" spans="3:92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7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</row>
    <row r="187" spans="3:92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7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</row>
    <row r="188" spans="3:92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7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</row>
    <row r="189" spans="3:92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7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</row>
    <row r="190" spans="3:92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7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</row>
    <row r="191" spans="3:92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7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</row>
    <row r="192" spans="3:92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7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</row>
    <row r="193" spans="3:92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7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</row>
    <row r="194" spans="3:92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7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</row>
    <row r="195" spans="3:92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7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</row>
    <row r="196" spans="3:92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7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</row>
    <row r="197" spans="3:92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7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</row>
    <row r="198" spans="3:92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7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</row>
    <row r="199" spans="3:92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7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</row>
    <row r="200" spans="3:92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7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</row>
    <row r="201" spans="3:92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7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</row>
    <row r="202" spans="3:92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7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</row>
    <row r="203" spans="3:92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7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</row>
    <row r="204" spans="3:92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7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</row>
    <row r="205" spans="3:92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7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</row>
    <row r="206" spans="3:92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7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</row>
    <row r="207" spans="3:92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7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</row>
    <row r="208" spans="3:92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7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</row>
    <row r="209" spans="3:92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7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</row>
    <row r="210" spans="3:92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7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</row>
    <row r="211" spans="3:92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7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</row>
    <row r="212" spans="3:92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7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</row>
    <row r="213" spans="3:92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7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</row>
    <row r="214" spans="3:92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7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</row>
    <row r="215" spans="3:92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7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</row>
    <row r="216" spans="3:92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7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</row>
    <row r="217" spans="3:92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7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</row>
    <row r="218" spans="3:92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7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</row>
    <row r="219" spans="3:92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7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</row>
    <row r="220" spans="3:92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7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</row>
    <row r="221" spans="3:92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7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</row>
    <row r="222" spans="3:92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7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</row>
    <row r="223" spans="3:92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7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</row>
    <row r="224" spans="3:92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7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</row>
    <row r="225" spans="3:92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7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</row>
    <row r="226" spans="3:92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7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</row>
    <row r="227" spans="3:92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7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</row>
    <row r="228" spans="3:92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7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</row>
    <row r="229" spans="3:92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7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</row>
    <row r="230" spans="3:92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7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</row>
    <row r="231" spans="3:92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7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</row>
    <row r="232" spans="3:92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7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</row>
    <row r="233" spans="3:92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7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</row>
    <row r="234" spans="3:92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7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</row>
    <row r="235" spans="3:92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7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</row>
    <row r="236" spans="3:92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7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</row>
    <row r="237" spans="3:92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7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</row>
    <row r="238" spans="3:92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7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</row>
    <row r="239" spans="3:92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7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</row>
    <row r="240" spans="3:92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7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</row>
    <row r="241" spans="3:92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7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</row>
    <row r="242" spans="3:92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7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</row>
    <row r="243" spans="3:92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7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</row>
    <row r="244" spans="3:92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7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</row>
    <row r="245" spans="3:92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7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</row>
    <row r="246" spans="3:92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7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</row>
    <row r="247" spans="3:92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7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</row>
    <row r="248" spans="3:92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7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</row>
    <row r="249" spans="3:92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</row>
    <row r="250" spans="3:92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</row>
    <row r="251" spans="3:92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</row>
    <row r="252" spans="3:92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</row>
    <row r="253" spans="3:92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</row>
    <row r="254" spans="3:92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</row>
    <row r="255" spans="3:92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</row>
    <row r="256" spans="3:92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</row>
    <row r="257" spans="3:92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</row>
    <row r="258" spans="3:92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</row>
    <row r="259" spans="3:92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</row>
    <row r="260" spans="3:92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</row>
    <row r="261" spans="3:92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</row>
    <row r="262" spans="3:92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</row>
    <row r="263" spans="3:92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</row>
    <row r="264" spans="3:92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</row>
    <row r="265" spans="3:92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</row>
    <row r="266" spans="3:92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</row>
    <row r="267" spans="3:92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</row>
    <row r="268" spans="3:92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</row>
    <row r="269" spans="3:92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</row>
    <row r="270" spans="3:92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</row>
    <row r="271" spans="3:92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</row>
    <row r="272" spans="3:92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</row>
    <row r="273" spans="3:92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</row>
    <row r="274" spans="3:92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</row>
    <row r="275" spans="3:92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</row>
    <row r="276" spans="3:92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</row>
    <row r="277" spans="3:92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</row>
    <row r="278" spans="3:92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</row>
    <row r="279" spans="3:92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</row>
    <row r="280" spans="3:92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</row>
    <row r="281" spans="3:92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</row>
    <row r="282" spans="3:92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</row>
    <row r="283" spans="3:92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</row>
    <row r="284" spans="3:92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</row>
    <row r="285" spans="3:92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</row>
    <row r="286" spans="3:92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</row>
    <row r="287" spans="3:92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</row>
    <row r="288" spans="3:92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</row>
    <row r="289" spans="3:92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</row>
    <row r="290" spans="3:92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</row>
    <row r="291" spans="3:92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</row>
    <row r="292" spans="3:92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</row>
    <row r="293" spans="3:92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</row>
    <row r="294" spans="3:92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</row>
    <row r="295" spans="3:92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</row>
    <row r="296" spans="3:92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</row>
    <row r="297" spans="3:92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</row>
    <row r="298" spans="3:92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</row>
    <row r="299" spans="3:92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</row>
    <row r="300" spans="3:92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</row>
    <row r="301" spans="3:92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</row>
    <row r="302" spans="3:92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</row>
    <row r="303" spans="3:92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</row>
    <row r="304" spans="3:92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</row>
    <row r="305" spans="3:92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</row>
    <row r="306" spans="3:92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</row>
    <row r="307" spans="3:92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</row>
    <row r="308" spans="3:92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</row>
    <row r="309" spans="3:92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</row>
    <row r="310" spans="3:92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</row>
    <row r="311" spans="3:92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</row>
    <row r="312" spans="3:92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</row>
    <row r="313" spans="3:92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</row>
    <row r="314" spans="3:92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</row>
    <row r="315" spans="3:92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</row>
    <row r="316" spans="3:92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</row>
    <row r="317" spans="3:92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</row>
    <row r="318" spans="3:92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</row>
    <row r="319" spans="3:92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</row>
    <row r="320" spans="3:92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</row>
    <row r="321" spans="3:92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</row>
    <row r="322" spans="3:92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</row>
    <row r="323" spans="3:92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</row>
    <row r="324" spans="3:92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</row>
    <row r="325" spans="3:92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</row>
    <row r="326" spans="3:92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</row>
    <row r="327" spans="3:92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</row>
    <row r="328" spans="3:92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</row>
    <row r="329" spans="3:92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</row>
    <row r="330" spans="3:92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</row>
    <row r="331" spans="3:92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</row>
    <row r="332" spans="3:92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</row>
    <row r="333" spans="3:92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</row>
    <row r="334" spans="3:92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</row>
    <row r="335" spans="3:92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</row>
    <row r="336" spans="3:92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</row>
    <row r="337" spans="3:92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</row>
    <row r="338" spans="3:92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</row>
    <row r="339" spans="3:92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</row>
    <row r="340" spans="3:92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</row>
    <row r="341" spans="3:92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</row>
    <row r="342" spans="3:92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</row>
    <row r="343" spans="3:92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</row>
    <row r="344" spans="3:92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</row>
    <row r="345" spans="3:92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</row>
    <row r="346" spans="3:92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</row>
    <row r="347" spans="3:92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</row>
    <row r="348" spans="3:92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</row>
    <row r="349" spans="3:92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</row>
    <row r="350" spans="3:92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</row>
    <row r="351" spans="3:92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</row>
    <row r="352" spans="3:92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</row>
    <row r="353" spans="3:92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</row>
    <row r="354" spans="3:92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</row>
    <row r="355" spans="3:92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</row>
    <row r="356" spans="3:92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</row>
    <row r="357" spans="3:92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</row>
    <row r="358" spans="3:92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</row>
    <row r="359" spans="3:92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</row>
    <row r="360" spans="3:92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</row>
    <row r="361" spans="3:92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</row>
    <row r="362" spans="3:92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</row>
    <row r="363" spans="3:92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</row>
    <row r="364" spans="3:92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</row>
    <row r="365" spans="3:92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</row>
    <row r="366" spans="3:92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</row>
    <row r="367" spans="3:92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</row>
    <row r="368" spans="3:92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</row>
    <row r="369" spans="3:92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</row>
    <row r="370" spans="3:92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</row>
    <row r="371" spans="3:92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</row>
    <row r="372" spans="3:92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</row>
    <row r="373" spans="3:92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</row>
    <row r="374" spans="3:92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</row>
    <row r="375" spans="3:92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</row>
    <row r="376" spans="3:92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</row>
    <row r="377" spans="3:92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</row>
    <row r="378" spans="3:92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</row>
    <row r="379" spans="3:92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</row>
    <row r="380" spans="3:92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</row>
    <row r="381" spans="3:92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</row>
    <row r="382" spans="3:92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</row>
    <row r="383" spans="3:92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</row>
    <row r="384" spans="3:92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</row>
    <row r="385" spans="3:92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</row>
    <row r="386" spans="3:92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</row>
    <row r="387" spans="3:92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</row>
    <row r="388" spans="3:92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</row>
    <row r="389" spans="3:92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</row>
    <row r="390" spans="3:92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</row>
    <row r="391" spans="3:92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</row>
    <row r="392" spans="3:92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</row>
    <row r="393" spans="3:92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</row>
    <row r="394" spans="3:92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</row>
    <row r="395" spans="3:92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</row>
    <row r="396" spans="3:92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</row>
    <row r="397" spans="3:92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</row>
    <row r="398" spans="3:92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</row>
    <row r="399" spans="3:92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</row>
    <row r="400" spans="3:92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</row>
  </sheetData>
  <mergeCells count="12">
    <mergeCell ref="W65:X65"/>
    <mergeCell ref="E70:H70"/>
    <mergeCell ref="E76:H76"/>
    <mergeCell ref="E82:H82"/>
    <mergeCell ref="V84:Z84"/>
    <mergeCell ref="E88:I88"/>
    <mergeCell ref="E20:H20"/>
    <mergeCell ref="I20:K20"/>
    <mergeCell ref="E46:H46"/>
    <mergeCell ref="E52:H52"/>
    <mergeCell ref="E58:H58"/>
    <mergeCell ref="E64:H64"/>
  </mergeCells>
  <conditionalFormatting sqref="F11:I19 F2:I8 G9:I10">
    <cfRule type="expression" dxfId="26" priority="4">
      <formula>OR($N2="glmp",$N2="skmp")</formula>
    </cfRule>
  </conditionalFormatting>
  <conditionalFormatting sqref="G2:I19">
    <cfRule type="expression" dxfId="25" priority="5">
      <formula>$K2="PT1H"</formula>
    </cfRule>
  </conditionalFormatting>
  <conditionalFormatting sqref="V35 Y35">
    <cfRule type="expression" dxfId="24" priority="11">
      <formula>$V$35=$Y$35</formula>
    </cfRule>
  </conditionalFormatting>
  <conditionalFormatting sqref="V41 Y41">
    <cfRule type="expression" dxfId="23" priority="10">
      <formula>$V$41=$Y$41</formula>
    </cfRule>
  </conditionalFormatting>
  <conditionalFormatting sqref="V47 Y47">
    <cfRule type="expression" dxfId="22" priority="9">
      <formula>$V$47=$Y$47</formula>
    </cfRule>
  </conditionalFormatting>
  <conditionalFormatting sqref="V53 Y53">
    <cfRule type="expression" dxfId="21" priority="8">
      <formula>$V$53=$Y$53</formula>
    </cfRule>
  </conditionalFormatting>
  <conditionalFormatting sqref="V59 Y59">
    <cfRule type="expression" dxfId="20" priority="7">
      <formula>$V$59=$Y$59</formula>
    </cfRule>
  </conditionalFormatting>
  <conditionalFormatting sqref="V65 Y65">
    <cfRule type="expression" dxfId="19" priority="6">
      <formula>$V$65=$Y$65</formula>
    </cfRule>
  </conditionalFormatting>
  <conditionalFormatting sqref="F9">
    <cfRule type="expression" dxfId="1" priority="2">
      <formula>OR($N9="glmp",$N9="skmp")</formula>
    </cfRule>
  </conditionalFormatting>
  <conditionalFormatting sqref="F10">
    <cfRule type="expression" dxfId="0" priority="1">
      <formula>OR($N10="glmp",$N10="skmp")</formula>
    </cfRule>
  </conditionalFormatting>
  <dataValidations count="5">
    <dataValidation type="list" allowBlank="1" showInputMessage="1" showErrorMessage="1" sqref="B1" xr:uid="{3C53C86B-AE62-434E-985F-FA19E90A6574}">
      <formula1>"ga,ga_es,ga_brp,ga_brp_es"</formula1>
    </dataValidation>
    <dataValidation type="list" allowBlank="1" showInputMessage="1" showErrorMessage="1" sqref="B2" xr:uid="{6FE52196-DE36-428A-A4BC-2F478523BCB5}">
      <formula1>"flex_consumption,nonprofiled_consumption,production"</formula1>
    </dataValidation>
    <dataValidation type="list" allowBlank="1" showInputMessage="1" showErrorMessage="1" sqref="K2:K19" xr:uid="{ECBE1091-27D6-41C0-9115-9793A11339D2}">
      <formula1>"PT15M,PT1H"</formula1>
    </dataValidation>
    <dataValidation type="list" allowBlank="1" showInputMessage="1" showErrorMessage="1" sqref="E2:E19" xr:uid="{6BAA6CC3-39F7-452B-98C3-FC34F3C9CD20}">
      <formula1>"D01,E02"</formula1>
    </dataValidation>
    <dataValidation type="list" allowBlank="1" showInputMessage="1" showErrorMessage="1" sqref="N2:N19" xr:uid="{BA601812-F37D-4239-AEBB-E4419EA8CEC4}">
      <formula1>"glmp,skmp"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3C51B3A6863BB4086AAB9D84DF721A3" ma:contentTypeVersion="9" ma:contentTypeDescription="Opret et nyt dokument." ma:contentTypeScope="" ma:versionID="9d92303bd8f83ad3ed572bd327ba273d">
  <xsd:schema xmlns:xsd="http://www.w3.org/2001/XMLSchema" xmlns:xs="http://www.w3.org/2001/XMLSchema" xmlns:p="http://schemas.microsoft.com/office/2006/metadata/properties" xmlns:ns3="17d0a144-7218-432a-80c1-1473a2ac0f84" targetNamespace="http://schemas.microsoft.com/office/2006/metadata/properties" ma:root="true" ma:fieldsID="e272e23039cec0e41a69c8e3deb1ff81" ns3:_="">
    <xsd:import namespace="17d0a144-7218-432a-80c1-1473a2ac0f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0a144-7218-432a-80c1-1473a2ac0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d0a144-7218-432a-80c1-1473a2ac0f84" xsi:nil="true"/>
  </documentManagement>
</p:properties>
</file>

<file path=customXml/itemProps1.xml><?xml version="1.0" encoding="utf-8"?>
<ds:datastoreItem xmlns:ds="http://schemas.openxmlformats.org/officeDocument/2006/customXml" ds:itemID="{F4F67E43-074E-4C0F-B170-E53BCA717C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E2584E-1495-47FC-B560-4437F91C3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0a144-7218-432a-80c1-1473a2ac0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1BD707-A63C-4C12-A5D3-024A5FAE9E8F}">
  <ds:schemaRefs>
    <ds:schemaRef ds:uri="http://purl.org/dc/dcmitype/"/>
    <ds:schemaRef ds:uri="http://www.w3.org/XML/1998/namespace"/>
    <ds:schemaRef ds:uri="17d0a144-7218-432a-80c1-1473a2ac0f84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126</vt:i4>
      </vt:variant>
    </vt:vector>
  </HeadingPairs>
  <TitlesOfParts>
    <vt:vector size="128" baseType="lpstr">
      <vt:lpstr>Day1</vt:lpstr>
      <vt:lpstr>Day2</vt:lpstr>
      <vt:lpstr>'Day1'!gridLoss15M</vt:lpstr>
      <vt:lpstr>'Day2'!gridLoss15M</vt:lpstr>
      <vt:lpstr>'Day1'!gridLoss1H_quarter1</vt:lpstr>
      <vt:lpstr>'Day2'!gridLoss1H_quarter1</vt:lpstr>
      <vt:lpstr>'Day1'!gridLoss1H_quarter2</vt:lpstr>
      <vt:lpstr>'Day2'!gridLoss1H_quarter2</vt:lpstr>
      <vt:lpstr>'Day1'!gridLoss1H_quarter3</vt:lpstr>
      <vt:lpstr>'Day2'!gridLoss1H_quarter3</vt:lpstr>
      <vt:lpstr>'Day1'!gridLoss1H_quarter4</vt:lpstr>
      <vt:lpstr>'Day2'!gridLoss1H_quarter4</vt:lpstr>
      <vt:lpstr>'Day1'!negGridLossQuarter1</vt:lpstr>
      <vt:lpstr>'Day2'!negGridLossQuarter1</vt:lpstr>
      <vt:lpstr>'Day1'!negGridLossQuarter2</vt:lpstr>
      <vt:lpstr>'Day2'!negGridLossQuarter2</vt:lpstr>
      <vt:lpstr>'Day1'!negGridLossQuarter3</vt:lpstr>
      <vt:lpstr>'Day2'!negGridLossQuarter3</vt:lpstr>
      <vt:lpstr>'Day1'!negGridLossQuarter4</vt:lpstr>
      <vt:lpstr>'Day2'!negGridLossQuarter4</vt:lpstr>
      <vt:lpstr>'Day1'!netEx_quarter1</vt:lpstr>
      <vt:lpstr>'Day2'!netEx_quarter1</vt:lpstr>
      <vt:lpstr>'Day1'!netEx_quarter2</vt:lpstr>
      <vt:lpstr>'Day2'!netEx_quarter2</vt:lpstr>
      <vt:lpstr>'Day1'!netEx_quarter3</vt:lpstr>
      <vt:lpstr>'Day2'!netEx_quarter3</vt:lpstr>
      <vt:lpstr>'Day1'!netEx_quarter4</vt:lpstr>
      <vt:lpstr>'Day2'!netEx_quarter4</vt:lpstr>
      <vt:lpstr>'Day1'!powerIn15M</vt:lpstr>
      <vt:lpstr>'Day2'!powerIn15M</vt:lpstr>
      <vt:lpstr>'Day1'!powerIn15M_quarter1</vt:lpstr>
      <vt:lpstr>'Day2'!powerIn15M_quarter1</vt:lpstr>
      <vt:lpstr>'Day1'!powerIn15M_quarter2</vt:lpstr>
      <vt:lpstr>'Day2'!powerIn15M_quarter2</vt:lpstr>
      <vt:lpstr>'Day1'!powerIn15M_quarter3</vt:lpstr>
      <vt:lpstr>'Day2'!powerIn15M_quarter3</vt:lpstr>
      <vt:lpstr>'Day1'!powerIn15M_quarter4</vt:lpstr>
      <vt:lpstr>'Day2'!powerIn15M_quarter4</vt:lpstr>
      <vt:lpstr>'Day1'!powerIn1H_quarter1</vt:lpstr>
      <vt:lpstr>'Day2'!powerIn1H_quarter1</vt:lpstr>
      <vt:lpstr>'Day1'!powerIn1H_quarter2</vt:lpstr>
      <vt:lpstr>'Day2'!powerIn1H_quarter2</vt:lpstr>
      <vt:lpstr>'Day1'!powerIn1H_quarter3</vt:lpstr>
      <vt:lpstr>'Day2'!powerIn1H_quarter3</vt:lpstr>
      <vt:lpstr>'Day1'!powerIn1H_quarter4</vt:lpstr>
      <vt:lpstr>'Day2'!powerIn1H_quarter4</vt:lpstr>
      <vt:lpstr>'Day1'!powerOut15M</vt:lpstr>
      <vt:lpstr>'Day2'!powerOut15M</vt:lpstr>
      <vt:lpstr>'Day1'!powerOut15M_quarter1</vt:lpstr>
      <vt:lpstr>'Day2'!powerOut15M_quarter1</vt:lpstr>
      <vt:lpstr>'Day1'!powerOut15M_quarter2</vt:lpstr>
      <vt:lpstr>'Day2'!powerOut15M_quarter2</vt:lpstr>
      <vt:lpstr>'Day1'!powerOut15M_quarter3</vt:lpstr>
      <vt:lpstr>'Day2'!powerOut15M_quarter3</vt:lpstr>
      <vt:lpstr>'Day1'!powerOut15M_quarter4</vt:lpstr>
      <vt:lpstr>'Day2'!powerOut15M_quarter4</vt:lpstr>
      <vt:lpstr>'Day1'!powerOut1H_quarter1</vt:lpstr>
      <vt:lpstr>'Day2'!powerOut1H_quarter1</vt:lpstr>
      <vt:lpstr>'Day1'!powerOut1H_quarter2</vt:lpstr>
      <vt:lpstr>'Day2'!powerOut1H_quarter2</vt:lpstr>
      <vt:lpstr>'Day1'!powerOut1H_quarter3</vt:lpstr>
      <vt:lpstr>'Day2'!powerOut1H_quarter3</vt:lpstr>
      <vt:lpstr>'Day1'!powerOut1H_quarter4</vt:lpstr>
      <vt:lpstr>'Day2'!powerOut1H_quarter4</vt:lpstr>
      <vt:lpstr>'Day1'!totalConsumption_quarter1</vt:lpstr>
      <vt:lpstr>'Day2'!totalConsumption_quarter1</vt:lpstr>
      <vt:lpstr>'Day1'!totalConsumption_quarter2</vt:lpstr>
      <vt:lpstr>'Day2'!totalConsumption_quarter2</vt:lpstr>
      <vt:lpstr>'Day1'!totalConsumption_quarter3</vt:lpstr>
      <vt:lpstr>'Day2'!totalConsumption_quarter3</vt:lpstr>
      <vt:lpstr>'Day1'!totalConsumption_quarter4</vt:lpstr>
      <vt:lpstr>'Day2'!totalConsumption_quarter4</vt:lpstr>
      <vt:lpstr>'Day1'!totalConsumption15M</vt:lpstr>
      <vt:lpstr>'Day2'!totalConsumption15M</vt:lpstr>
      <vt:lpstr>'Day1'!totalFlex15M</vt:lpstr>
      <vt:lpstr>'Day2'!totalFlex15M</vt:lpstr>
      <vt:lpstr>'Day1'!totalFlex15M_quarter1</vt:lpstr>
      <vt:lpstr>'Day2'!totalFlex15M_quarter1</vt:lpstr>
      <vt:lpstr>'Day1'!totalFlex15M_quarter2</vt:lpstr>
      <vt:lpstr>'Day2'!totalFlex15M_quarter2</vt:lpstr>
      <vt:lpstr>'Day1'!totalFlex15M_quarter3</vt:lpstr>
      <vt:lpstr>'Day2'!totalFlex15M_quarter3</vt:lpstr>
      <vt:lpstr>'Day1'!totalFlex15M_quarter4</vt:lpstr>
      <vt:lpstr>'Day2'!totalFlex15M_quarter4</vt:lpstr>
      <vt:lpstr>'Day1'!totalFlex1H_quarter1</vt:lpstr>
      <vt:lpstr>'Day2'!totalFlex1H_quarter1</vt:lpstr>
      <vt:lpstr>'Day1'!totalFlex1H_quarter2</vt:lpstr>
      <vt:lpstr>'Day2'!totalFlex1H_quarter2</vt:lpstr>
      <vt:lpstr>'Day1'!totalFlex1H_quarter3</vt:lpstr>
      <vt:lpstr>'Day2'!totalFlex1H_quarter3</vt:lpstr>
      <vt:lpstr>'Day1'!totalFlex1H_quarter4</vt:lpstr>
      <vt:lpstr>'Day2'!totalFlex1H_quarter4</vt:lpstr>
      <vt:lpstr>'Day1'!totalNonprofiled15M</vt:lpstr>
      <vt:lpstr>'Day2'!totalNonprofiled15M</vt:lpstr>
      <vt:lpstr>'Day1'!totalNonprofiled15M_quarter1</vt:lpstr>
      <vt:lpstr>'Day2'!totalNonprofiled15M_quarter1</vt:lpstr>
      <vt:lpstr>'Day1'!totalNonprofiled15M_quarter2</vt:lpstr>
      <vt:lpstr>'Day2'!totalNonprofiled15M_quarter2</vt:lpstr>
      <vt:lpstr>'Day1'!totalNonprofiled15M_quarter3</vt:lpstr>
      <vt:lpstr>'Day2'!totalNonprofiled15M_quarter3</vt:lpstr>
      <vt:lpstr>'Day1'!totalNonprofiled15M_quarter4</vt:lpstr>
      <vt:lpstr>'Day2'!totalNonprofiled15M_quarter4</vt:lpstr>
      <vt:lpstr>'Day1'!totalNonprofiled1H_quarter1</vt:lpstr>
      <vt:lpstr>'Day2'!totalNonprofiled1H_quarter1</vt:lpstr>
      <vt:lpstr>'Day1'!totalNonprofiled1H_quarter2</vt:lpstr>
      <vt:lpstr>'Day2'!totalNonprofiled1H_quarter2</vt:lpstr>
      <vt:lpstr>'Day1'!totalNonprofiled1H_quarter3</vt:lpstr>
      <vt:lpstr>'Day2'!totalNonprofiled1H_quarter3</vt:lpstr>
      <vt:lpstr>'Day1'!totalNonprofiled1H_quarter4</vt:lpstr>
      <vt:lpstr>'Day2'!totalNonprofiled1H_quarter4</vt:lpstr>
      <vt:lpstr>'Day1'!totalProduction15M</vt:lpstr>
      <vt:lpstr>'Day2'!totalProduction15M</vt:lpstr>
      <vt:lpstr>'Day1'!totalProduction15M_quarter1</vt:lpstr>
      <vt:lpstr>'Day2'!totalProduction15M_quarter1</vt:lpstr>
      <vt:lpstr>'Day1'!totalProduction15M_quarter2</vt:lpstr>
      <vt:lpstr>'Day2'!totalProduction15M_quarter2</vt:lpstr>
      <vt:lpstr>'Day1'!totalProduction15M_quarter3</vt:lpstr>
      <vt:lpstr>'Day2'!totalProduction15M_quarter3</vt:lpstr>
      <vt:lpstr>'Day1'!totalProduction15M_quarter4</vt:lpstr>
      <vt:lpstr>'Day2'!totalProduction15M_quarter4</vt:lpstr>
      <vt:lpstr>'Day1'!totalProduction1H_quarter1</vt:lpstr>
      <vt:lpstr>'Day2'!totalProduction1H_quarter1</vt:lpstr>
      <vt:lpstr>'Day1'!totalProduction1H_quarter2</vt:lpstr>
      <vt:lpstr>'Day2'!totalProduction1H_quarter2</vt:lpstr>
      <vt:lpstr>'Day1'!totalProduction1H_quarter3</vt:lpstr>
      <vt:lpstr>'Day2'!totalProduction1H_quarter3</vt:lpstr>
      <vt:lpstr>'Day1'!totalProduction1H_quarter4</vt:lpstr>
      <vt:lpstr>'Day2'!totalProduction1H_quarter4</vt:lpstr>
    </vt:vector>
  </TitlesOfParts>
  <Company>Energinet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Petersen</dc:creator>
  <cp:lastModifiedBy>Claus Petersen</cp:lastModifiedBy>
  <dcterms:created xsi:type="dcterms:W3CDTF">2024-04-04T07:30:52Z</dcterms:created>
  <dcterms:modified xsi:type="dcterms:W3CDTF">2024-05-22T11:13:52Z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8507bc-e780-4892-8083-f8b069738aec_Enabled">
    <vt:lpwstr>true</vt:lpwstr>
  </property>
  <property fmtid="{D5CDD505-2E9C-101B-9397-08002B2CF9AE}" pid="3" name="MSIP_Label_388507bc-e780-4892-8083-f8b069738aec_SetDate">
    <vt:lpwstr>2024-04-04T14:19:12Z</vt:lpwstr>
  </property>
  <property fmtid="{D5CDD505-2E9C-101B-9397-08002B2CF9AE}" pid="4" name="MSIP_Label_388507bc-e780-4892-8083-f8b069738aec_Method">
    <vt:lpwstr>Privileged</vt:lpwstr>
  </property>
  <property fmtid="{D5CDD505-2E9C-101B-9397-08002B2CF9AE}" pid="5" name="MSIP_Label_388507bc-e780-4892-8083-f8b069738aec_Name">
    <vt:lpwstr>Til arbejdsbrug</vt:lpwstr>
  </property>
  <property fmtid="{D5CDD505-2E9C-101B-9397-08002B2CF9AE}" pid="6" name="MSIP_Label_388507bc-e780-4892-8083-f8b069738aec_SiteId">
    <vt:lpwstr>f7619355-6c67-4100-9a78-1847f30742e2</vt:lpwstr>
  </property>
  <property fmtid="{D5CDD505-2E9C-101B-9397-08002B2CF9AE}" pid="7" name="MSIP_Label_388507bc-e780-4892-8083-f8b069738aec_ActionId">
    <vt:lpwstr>75b0404f-7bd1-499f-912c-c3caec54de3b</vt:lpwstr>
  </property>
  <property fmtid="{D5CDD505-2E9C-101B-9397-08002B2CF9AE}" pid="8" name="MSIP_Label_388507bc-e780-4892-8083-f8b069738aec_ContentBits">
    <vt:lpwstr>0</vt:lpwstr>
  </property>
  <property fmtid="{D5CDD505-2E9C-101B-9397-08002B2CF9AE}" pid="9" name="ContentTypeId">
    <vt:lpwstr>0x01010083C51B3A6863BB4086AAB9D84DF721A3</vt:lpwstr>
  </property>
</Properties>
</file>